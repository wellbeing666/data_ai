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保研\套磁\"/>
    </mc:Choice>
  </mc:AlternateContent>
  <xr:revisionPtr revIDLastSave="0" documentId="13_ncr:1_{56FDD8E7-8FDC-4C69-A6E7-4854E2318837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概览看板" sheetId="1" r:id="rId1"/>
    <sheet name="院校信息总表" sheetId="2" r:id="rId2"/>
    <sheet name="套磁情况" sheetId="3" r:id="rId3"/>
    <sheet name="时间线与待办" sheetId="4" r:id="rId4"/>
    <sheet name="择校评分模型" sheetId="5" r:id="rId5"/>
    <sheet name="使用说明" sheetId="6" r:id="rId6"/>
    <sheet name="选项" sheetId="7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" i="5" l="1"/>
  <c r="H50" i="5" s="1"/>
  <c r="I50" i="5" s="1"/>
  <c r="A49" i="5"/>
  <c r="H49" i="5" s="1"/>
  <c r="I49" i="5" s="1"/>
  <c r="A48" i="5"/>
  <c r="H48" i="5" s="1"/>
  <c r="I48" i="5" s="1"/>
  <c r="A47" i="5"/>
  <c r="H47" i="5" s="1"/>
  <c r="I47" i="5" s="1"/>
  <c r="A46" i="5"/>
  <c r="H46" i="5" s="1"/>
  <c r="I46" i="5" s="1"/>
  <c r="A45" i="5"/>
  <c r="H45" i="5" s="1"/>
  <c r="I45" i="5" s="1"/>
  <c r="A44" i="5"/>
  <c r="H44" i="5" s="1"/>
  <c r="I44" i="5" s="1"/>
  <c r="A43" i="5"/>
  <c r="H43" i="5" s="1"/>
  <c r="I43" i="5" s="1"/>
  <c r="A42" i="5"/>
  <c r="H42" i="5" s="1"/>
  <c r="I42" i="5" s="1"/>
  <c r="A41" i="5"/>
  <c r="H41" i="5" s="1"/>
  <c r="I41" i="5" s="1"/>
  <c r="A40" i="5"/>
  <c r="H40" i="5" s="1"/>
  <c r="I40" i="5" s="1"/>
  <c r="A39" i="5"/>
  <c r="H39" i="5" s="1"/>
  <c r="I39" i="5" s="1"/>
  <c r="A38" i="5"/>
  <c r="H38" i="5" s="1"/>
  <c r="I38" i="5" s="1"/>
  <c r="A37" i="5"/>
  <c r="H37" i="5" s="1"/>
  <c r="I37" i="5" s="1"/>
  <c r="A36" i="5"/>
  <c r="H36" i="5" s="1"/>
  <c r="I36" i="5" s="1"/>
  <c r="A35" i="5"/>
  <c r="H35" i="5" s="1"/>
  <c r="I35" i="5" s="1"/>
  <c r="A34" i="5"/>
  <c r="H34" i="5" s="1"/>
  <c r="I34" i="5" s="1"/>
  <c r="A33" i="5"/>
  <c r="H33" i="5" s="1"/>
  <c r="I33" i="5" s="1"/>
  <c r="H32" i="5"/>
  <c r="I32" i="5" s="1"/>
  <c r="A32" i="5"/>
  <c r="H31" i="5"/>
  <c r="I31" i="5" s="1"/>
  <c r="A31" i="5"/>
  <c r="A30" i="5"/>
  <c r="H30" i="5" s="1"/>
  <c r="I30" i="5" s="1"/>
  <c r="A29" i="5"/>
  <c r="H29" i="5" s="1"/>
  <c r="I29" i="5" s="1"/>
  <c r="H28" i="5"/>
  <c r="I28" i="5" s="1"/>
  <c r="A28" i="5"/>
  <c r="A27" i="5"/>
  <c r="H27" i="5" s="1"/>
  <c r="I27" i="5" s="1"/>
  <c r="A26" i="5"/>
  <c r="H26" i="5" s="1"/>
  <c r="I26" i="5" s="1"/>
  <c r="A25" i="5"/>
  <c r="H25" i="5" s="1"/>
  <c r="I25" i="5" s="1"/>
  <c r="A24" i="5"/>
  <c r="H24" i="5" s="1"/>
  <c r="I24" i="5" s="1"/>
  <c r="H23" i="5"/>
  <c r="I23" i="5" s="1"/>
  <c r="A23" i="5"/>
  <c r="A22" i="5"/>
  <c r="H22" i="5" s="1"/>
  <c r="I22" i="5" s="1"/>
  <c r="A21" i="5"/>
  <c r="H21" i="5" s="1"/>
  <c r="I21" i="5" s="1"/>
  <c r="A20" i="5"/>
  <c r="H20" i="5" s="1"/>
  <c r="I20" i="5" s="1"/>
  <c r="A19" i="5"/>
  <c r="H19" i="5" s="1"/>
  <c r="I19" i="5" s="1"/>
  <c r="A18" i="5"/>
  <c r="H18" i="5" s="1"/>
  <c r="I18" i="5" s="1"/>
  <c r="A17" i="5"/>
  <c r="H17" i="5" s="1"/>
  <c r="I17" i="5" s="1"/>
  <c r="A16" i="5"/>
  <c r="H16" i="5" s="1"/>
  <c r="I16" i="5" s="1"/>
  <c r="A15" i="5"/>
  <c r="H15" i="5" s="1"/>
  <c r="I15" i="5" s="1"/>
  <c r="A14" i="5"/>
  <c r="H14" i="5" s="1"/>
  <c r="I14" i="5" s="1"/>
  <c r="A13" i="5"/>
  <c r="H13" i="5" s="1"/>
  <c r="I13" i="5" s="1"/>
  <c r="A12" i="5"/>
  <c r="H12" i="5" s="1"/>
  <c r="I12" i="5" s="1"/>
  <c r="A11" i="5"/>
  <c r="H11" i="5" s="1"/>
  <c r="I11" i="5" s="1"/>
  <c r="A10" i="5"/>
  <c r="H10" i="5" s="1"/>
  <c r="I10" i="5" s="1"/>
  <c r="A9" i="5"/>
  <c r="H9" i="5" s="1"/>
  <c r="I9" i="5" s="1"/>
  <c r="A8" i="5"/>
  <c r="H8" i="5" s="1"/>
  <c r="I8" i="5" s="1"/>
  <c r="H7" i="5"/>
  <c r="I7" i="5" s="1"/>
  <c r="A7" i="5"/>
  <c r="A6" i="5"/>
  <c r="H6" i="5" s="1"/>
  <c r="I6" i="5" s="1"/>
  <c r="A5" i="5"/>
  <c r="H5" i="5" s="1"/>
  <c r="I5" i="5" s="1"/>
  <c r="A4" i="5"/>
  <c r="H4" i="5" s="1"/>
  <c r="I4" i="5" s="1"/>
  <c r="H3" i="5"/>
  <c r="I3" i="5" s="1"/>
  <c r="A3" i="5"/>
  <c r="A2" i="5"/>
  <c r="H2" i="5" s="1"/>
  <c r="I2" i="5" s="1"/>
  <c r="F100" i="4"/>
  <c r="E100" i="4"/>
  <c r="D100" i="4"/>
  <c r="C100" i="4"/>
  <c r="B100" i="4"/>
  <c r="A100" i="4"/>
  <c r="F99" i="4"/>
  <c r="E99" i="4"/>
  <c r="D99" i="4"/>
  <c r="C99" i="4"/>
  <c r="B99" i="4"/>
  <c r="A99" i="4"/>
  <c r="F98" i="4"/>
  <c r="E98" i="4"/>
  <c r="D98" i="4"/>
  <c r="C98" i="4"/>
  <c r="B98" i="4"/>
  <c r="A98" i="4"/>
  <c r="F97" i="4"/>
  <c r="E97" i="4"/>
  <c r="D97" i="4"/>
  <c r="C97" i="4"/>
  <c r="B97" i="4"/>
  <c r="A97" i="4"/>
  <c r="F96" i="4"/>
  <c r="E96" i="4"/>
  <c r="D96" i="4"/>
  <c r="C96" i="4"/>
  <c r="B96" i="4"/>
  <c r="A96" i="4"/>
  <c r="F95" i="4"/>
  <c r="E95" i="4"/>
  <c r="D95" i="4"/>
  <c r="C95" i="4"/>
  <c r="B95" i="4"/>
  <c r="A95" i="4"/>
  <c r="F94" i="4"/>
  <c r="E94" i="4"/>
  <c r="D94" i="4"/>
  <c r="C94" i="4"/>
  <c r="B94" i="4"/>
  <c r="A94" i="4"/>
  <c r="F93" i="4"/>
  <c r="E93" i="4"/>
  <c r="D93" i="4"/>
  <c r="C93" i="4"/>
  <c r="B93" i="4"/>
  <c r="A93" i="4"/>
  <c r="F92" i="4"/>
  <c r="E92" i="4"/>
  <c r="D92" i="4"/>
  <c r="C92" i="4"/>
  <c r="B92" i="4"/>
  <c r="A92" i="4"/>
  <c r="F91" i="4"/>
  <c r="E91" i="4"/>
  <c r="D91" i="4"/>
  <c r="C91" i="4"/>
  <c r="B91" i="4"/>
  <c r="A91" i="4"/>
  <c r="F90" i="4"/>
  <c r="E90" i="4"/>
  <c r="D90" i="4"/>
  <c r="C90" i="4"/>
  <c r="B90" i="4"/>
  <c r="A90" i="4"/>
  <c r="F89" i="4"/>
  <c r="E89" i="4"/>
  <c r="D89" i="4"/>
  <c r="C89" i="4"/>
  <c r="B89" i="4"/>
  <c r="A89" i="4"/>
  <c r="F88" i="4"/>
  <c r="E88" i="4"/>
  <c r="D88" i="4"/>
  <c r="C88" i="4"/>
  <c r="B88" i="4"/>
  <c r="A88" i="4"/>
  <c r="F87" i="4"/>
  <c r="E87" i="4"/>
  <c r="D87" i="4"/>
  <c r="C87" i="4"/>
  <c r="B87" i="4"/>
  <c r="A87" i="4"/>
  <c r="F86" i="4"/>
  <c r="E86" i="4"/>
  <c r="D86" i="4"/>
  <c r="C86" i="4"/>
  <c r="B86" i="4"/>
  <c r="A86" i="4"/>
  <c r="F85" i="4"/>
  <c r="E85" i="4"/>
  <c r="D85" i="4"/>
  <c r="C85" i="4"/>
  <c r="B85" i="4"/>
  <c r="A85" i="4"/>
  <c r="F84" i="4"/>
  <c r="E84" i="4"/>
  <c r="D84" i="4"/>
  <c r="C84" i="4"/>
  <c r="B84" i="4"/>
  <c r="A84" i="4"/>
  <c r="F83" i="4"/>
  <c r="E83" i="4"/>
  <c r="D83" i="4"/>
  <c r="C83" i="4"/>
  <c r="B83" i="4"/>
  <c r="A83" i="4"/>
  <c r="F82" i="4"/>
  <c r="E82" i="4"/>
  <c r="D82" i="4"/>
  <c r="C82" i="4"/>
  <c r="B82" i="4"/>
  <c r="A82" i="4"/>
  <c r="F81" i="4"/>
  <c r="E81" i="4"/>
  <c r="D81" i="4"/>
  <c r="C81" i="4"/>
  <c r="B81" i="4"/>
  <c r="A81" i="4"/>
  <c r="F80" i="4"/>
  <c r="E80" i="4"/>
  <c r="D80" i="4"/>
  <c r="C80" i="4"/>
  <c r="B80" i="4"/>
  <c r="A80" i="4"/>
  <c r="F79" i="4"/>
  <c r="E79" i="4"/>
  <c r="D79" i="4"/>
  <c r="C79" i="4"/>
  <c r="B79" i="4"/>
  <c r="A79" i="4"/>
  <c r="F78" i="4"/>
  <c r="E78" i="4"/>
  <c r="D78" i="4"/>
  <c r="C78" i="4"/>
  <c r="B78" i="4"/>
  <c r="A78" i="4"/>
  <c r="F77" i="4"/>
  <c r="E77" i="4"/>
  <c r="D77" i="4"/>
  <c r="C77" i="4"/>
  <c r="B77" i="4"/>
  <c r="A77" i="4"/>
  <c r="F76" i="4"/>
  <c r="E76" i="4"/>
  <c r="D76" i="4"/>
  <c r="C76" i="4"/>
  <c r="B76" i="4"/>
  <c r="A76" i="4"/>
  <c r="F75" i="4"/>
  <c r="E75" i="4"/>
  <c r="D75" i="4"/>
  <c r="C75" i="4"/>
  <c r="B75" i="4"/>
  <c r="A75" i="4"/>
  <c r="F74" i="4"/>
  <c r="E74" i="4"/>
  <c r="D74" i="4"/>
  <c r="C74" i="4"/>
  <c r="B74" i="4"/>
  <c r="A74" i="4"/>
  <c r="F73" i="4"/>
  <c r="E73" i="4"/>
  <c r="D73" i="4"/>
  <c r="C73" i="4"/>
  <c r="B73" i="4"/>
  <c r="A73" i="4"/>
  <c r="F72" i="4"/>
  <c r="E72" i="4"/>
  <c r="D72" i="4"/>
  <c r="C72" i="4"/>
  <c r="B72" i="4"/>
  <c r="A72" i="4"/>
  <c r="F71" i="4"/>
  <c r="E71" i="4"/>
  <c r="D71" i="4"/>
  <c r="C71" i="4"/>
  <c r="B71" i="4"/>
  <c r="A71" i="4"/>
  <c r="F70" i="4"/>
  <c r="E70" i="4"/>
  <c r="D70" i="4"/>
  <c r="C70" i="4"/>
  <c r="B70" i="4"/>
  <c r="A70" i="4"/>
  <c r="F69" i="4"/>
  <c r="E69" i="4"/>
  <c r="D69" i="4"/>
  <c r="C69" i="4"/>
  <c r="B69" i="4"/>
  <c r="A69" i="4"/>
  <c r="F68" i="4"/>
  <c r="E68" i="4"/>
  <c r="D68" i="4"/>
  <c r="C68" i="4"/>
  <c r="B68" i="4"/>
  <c r="A68" i="4"/>
  <c r="F67" i="4"/>
  <c r="E67" i="4"/>
  <c r="D67" i="4"/>
  <c r="C67" i="4"/>
  <c r="B67" i="4"/>
  <c r="A67" i="4"/>
  <c r="F66" i="4"/>
  <c r="E66" i="4"/>
  <c r="D66" i="4"/>
  <c r="C66" i="4"/>
  <c r="B66" i="4"/>
  <c r="A66" i="4"/>
  <c r="F65" i="4"/>
  <c r="E65" i="4"/>
  <c r="D65" i="4"/>
  <c r="C65" i="4"/>
  <c r="B65" i="4"/>
  <c r="A65" i="4"/>
  <c r="F64" i="4"/>
  <c r="E64" i="4"/>
  <c r="D64" i="4"/>
  <c r="C64" i="4"/>
  <c r="B64" i="4"/>
  <c r="A64" i="4"/>
  <c r="F63" i="4"/>
  <c r="E63" i="4"/>
  <c r="D63" i="4"/>
  <c r="C63" i="4"/>
  <c r="B63" i="4"/>
  <c r="A63" i="4"/>
  <c r="F62" i="4"/>
  <c r="E62" i="4"/>
  <c r="D62" i="4"/>
  <c r="C62" i="4"/>
  <c r="B62" i="4"/>
  <c r="A62" i="4"/>
  <c r="F61" i="4"/>
  <c r="E61" i="4"/>
  <c r="D61" i="4"/>
  <c r="C61" i="4"/>
  <c r="B61" i="4"/>
  <c r="A61" i="4"/>
  <c r="F60" i="4"/>
  <c r="E60" i="4"/>
  <c r="D60" i="4"/>
  <c r="C60" i="4"/>
  <c r="B60" i="4"/>
  <c r="A60" i="4"/>
  <c r="F59" i="4"/>
  <c r="E59" i="4"/>
  <c r="D59" i="4"/>
  <c r="C59" i="4"/>
  <c r="B59" i="4"/>
  <c r="A59" i="4"/>
  <c r="F58" i="4"/>
  <c r="E58" i="4"/>
  <c r="D58" i="4"/>
  <c r="C58" i="4"/>
  <c r="B58" i="4"/>
  <c r="A58" i="4"/>
  <c r="F57" i="4"/>
  <c r="E57" i="4"/>
  <c r="D57" i="4"/>
  <c r="C57" i="4"/>
  <c r="B57" i="4"/>
  <c r="A57" i="4"/>
  <c r="F56" i="4"/>
  <c r="E56" i="4"/>
  <c r="D56" i="4"/>
  <c r="C56" i="4"/>
  <c r="B56" i="4"/>
  <c r="A56" i="4"/>
  <c r="F55" i="4"/>
  <c r="E55" i="4"/>
  <c r="D55" i="4"/>
  <c r="C55" i="4"/>
  <c r="B55" i="4"/>
  <c r="A55" i="4"/>
  <c r="F54" i="4"/>
  <c r="E54" i="4"/>
  <c r="D54" i="4"/>
  <c r="C54" i="4"/>
  <c r="B54" i="4"/>
  <c r="A54" i="4"/>
  <c r="F53" i="4"/>
  <c r="E53" i="4"/>
  <c r="D53" i="4"/>
  <c r="C53" i="4"/>
  <c r="B53" i="4"/>
  <c r="A53" i="4"/>
  <c r="F52" i="4"/>
  <c r="E52" i="4"/>
  <c r="D52" i="4"/>
  <c r="C52" i="4"/>
  <c r="B52" i="4"/>
  <c r="A52" i="4"/>
  <c r="F51" i="4"/>
  <c r="E51" i="4"/>
  <c r="D51" i="4"/>
  <c r="C51" i="4"/>
  <c r="B51" i="4"/>
  <c r="A51" i="4"/>
  <c r="F50" i="4"/>
  <c r="E50" i="4"/>
  <c r="D50" i="4"/>
  <c r="C50" i="4"/>
  <c r="B50" i="4"/>
  <c r="A50" i="4"/>
  <c r="F49" i="4"/>
  <c r="E49" i="4"/>
  <c r="D49" i="4"/>
  <c r="C49" i="4"/>
  <c r="B49" i="4"/>
  <c r="A49" i="4"/>
  <c r="F48" i="4"/>
  <c r="E48" i="4"/>
  <c r="D48" i="4"/>
  <c r="C48" i="4"/>
  <c r="B48" i="4"/>
  <c r="A48" i="4"/>
  <c r="F47" i="4"/>
  <c r="E47" i="4"/>
  <c r="D47" i="4"/>
  <c r="C47" i="4"/>
  <c r="B47" i="4"/>
  <c r="A47" i="4"/>
  <c r="F46" i="4"/>
  <c r="E46" i="4"/>
  <c r="D46" i="4"/>
  <c r="C46" i="4"/>
  <c r="B46" i="4"/>
  <c r="A46" i="4"/>
  <c r="F45" i="4"/>
  <c r="E45" i="4"/>
  <c r="D45" i="4"/>
  <c r="C45" i="4"/>
  <c r="B45" i="4"/>
  <c r="A45" i="4"/>
  <c r="F44" i="4"/>
  <c r="E44" i="4"/>
  <c r="D44" i="4"/>
  <c r="C44" i="4"/>
  <c r="B44" i="4"/>
  <c r="A44" i="4"/>
  <c r="F43" i="4"/>
  <c r="E43" i="4"/>
  <c r="D43" i="4"/>
  <c r="C43" i="4"/>
  <c r="B43" i="4"/>
  <c r="A43" i="4"/>
  <c r="F42" i="4"/>
  <c r="E42" i="4"/>
  <c r="D42" i="4"/>
  <c r="C42" i="4"/>
  <c r="B42" i="4"/>
  <c r="A42" i="4"/>
  <c r="F41" i="4"/>
  <c r="E41" i="4"/>
  <c r="D41" i="4"/>
  <c r="C41" i="4"/>
  <c r="B41" i="4"/>
  <c r="A41" i="4"/>
  <c r="F40" i="4"/>
  <c r="E40" i="4"/>
  <c r="D40" i="4"/>
  <c r="C40" i="4"/>
  <c r="B40" i="4"/>
  <c r="A40" i="4"/>
  <c r="F39" i="4"/>
  <c r="E39" i="4"/>
  <c r="D39" i="4"/>
  <c r="C39" i="4"/>
  <c r="B39" i="4"/>
  <c r="A39" i="4"/>
  <c r="F38" i="4"/>
  <c r="E38" i="4"/>
  <c r="D38" i="4"/>
  <c r="C38" i="4"/>
  <c r="B38" i="4"/>
  <c r="A38" i="4"/>
  <c r="F37" i="4"/>
  <c r="E37" i="4"/>
  <c r="D37" i="4"/>
  <c r="C37" i="4"/>
  <c r="B37" i="4"/>
  <c r="A37" i="4"/>
  <c r="F36" i="4"/>
  <c r="E36" i="4"/>
  <c r="D36" i="4"/>
  <c r="C36" i="4"/>
  <c r="B36" i="4"/>
  <c r="A36" i="4"/>
  <c r="F35" i="4"/>
  <c r="E35" i="4"/>
  <c r="D35" i="4"/>
  <c r="C35" i="4"/>
  <c r="B35" i="4"/>
  <c r="A35" i="4"/>
  <c r="F34" i="4"/>
  <c r="E34" i="4"/>
  <c r="D34" i="4"/>
  <c r="C34" i="4"/>
  <c r="B34" i="4"/>
  <c r="A34" i="4"/>
  <c r="F33" i="4"/>
  <c r="E33" i="4"/>
  <c r="D33" i="4"/>
  <c r="C33" i="4"/>
  <c r="B33" i="4"/>
  <c r="A33" i="4"/>
  <c r="F32" i="4"/>
  <c r="E32" i="4"/>
  <c r="D32" i="4"/>
  <c r="C32" i="4"/>
  <c r="B32" i="4"/>
  <c r="A32" i="4"/>
  <c r="F31" i="4"/>
  <c r="E31" i="4"/>
  <c r="D31" i="4"/>
  <c r="C31" i="4"/>
  <c r="B31" i="4"/>
  <c r="A31" i="4"/>
  <c r="F30" i="4"/>
  <c r="E30" i="4"/>
  <c r="D30" i="4"/>
  <c r="C30" i="4"/>
  <c r="B30" i="4"/>
  <c r="A30" i="4"/>
  <c r="F29" i="4"/>
  <c r="E29" i="4"/>
  <c r="D29" i="4"/>
  <c r="C29" i="4"/>
  <c r="B29" i="4"/>
  <c r="A29" i="4"/>
  <c r="F28" i="4"/>
  <c r="E28" i="4"/>
  <c r="D28" i="4"/>
  <c r="C28" i="4"/>
  <c r="B28" i="4"/>
  <c r="A28" i="4"/>
  <c r="F27" i="4"/>
  <c r="E27" i="4"/>
  <c r="D27" i="4"/>
  <c r="C27" i="4"/>
  <c r="B27" i="4"/>
  <c r="A27" i="4"/>
  <c r="F26" i="4"/>
  <c r="E26" i="4"/>
  <c r="D26" i="4"/>
  <c r="C26" i="4"/>
  <c r="B26" i="4"/>
  <c r="A26" i="4"/>
  <c r="F25" i="4"/>
  <c r="E25" i="4"/>
  <c r="D25" i="4"/>
  <c r="C25" i="4"/>
  <c r="B25" i="4"/>
  <c r="A25" i="4"/>
  <c r="F24" i="4"/>
  <c r="E24" i="4"/>
  <c r="D24" i="4"/>
  <c r="C24" i="4"/>
  <c r="B24" i="4"/>
  <c r="A24" i="4"/>
  <c r="F23" i="4"/>
  <c r="E23" i="4"/>
  <c r="D23" i="4"/>
  <c r="C23" i="4"/>
  <c r="B23" i="4"/>
  <c r="A23" i="4"/>
  <c r="F22" i="4"/>
  <c r="E22" i="4"/>
  <c r="D22" i="4"/>
  <c r="C22" i="4"/>
  <c r="B22" i="4"/>
  <c r="A22" i="4"/>
  <c r="F21" i="4"/>
  <c r="E21" i="4"/>
  <c r="D21" i="4"/>
  <c r="C21" i="4"/>
  <c r="B21" i="4"/>
  <c r="A21" i="4"/>
  <c r="F20" i="4"/>
  <c r="E20" i="4"/>
  <c r="D20" i="4"/>
  <c r="C20" i="4"/>
  <c r="B20" i="4"/>
  <c r="A20" i="4"/>
  <c r="F19" i="4"/>
  <c r="E19" i="4"/>
  <c r="D19" i="4"/>
  <c r="C19" i="4"/>
  <c r="B19" i="4"/>
  <c r="A19" i="4"/>
  <c r="F18" i="4"/>
  <c r="E18" i="4"/>
  <c r="D18" i="4"/>
  <c r="C18" i="4"/>
  <c r="B18" i="4"/>
  <c r="A18" i="4"/>
  <c r="F17" i="4"/>
  <c r="E17" i="4"/>
  <c r="D17" i="4"/>
  <c r="C17" i="4"/>
  <c r="B17" i="4"/>
  <c r="A17" i="4"/>
  <c r="F16" i="4"/>
  <c r="E16" i="4"/>
  <c r="D16" i="4"/>
  <c r="C16" i="4"/>
  <c r="B16" i="4"/>
  <c r="A16" i="4"/>
  <c r="F15" i="4"/>
  <c r="E15" i="4"/>
  <c r="D15" i="4"/>
  <c r="C15" i="4"/>
  <c r="B15" i="4"/>
  <c r="A15" i="4"/>
  <c r="F14" i="4"/>
  <c r="E14" i="4"/>
  <c r="D14" i="4"/>
  <c r="C14" i="4"/>
  <c r="B14" i="4"/>
  <c r="A14" i="4"/>
  <c r="F13" i="4"/>
  <c r="E13" i="4"/>
  <c r="D13" i="4"/>
  <c r="C13" i="4"/>
  <c r="B13" i="4"/>
  <c r="A13" i="4"/>
  <c r="F12" i="4"/>
  <c r="E12" i="4"/>
  <c r="D12" i="4"/>
  <c r="C12" i="4"/>
  <c r="B12" i="4"/>
  <c r="A12" i="4"/>
  <c r="F11" i="4"/>
  <c r="E11" i="4"/>
  <c r="D11" i="4"/>
  <c r="C11" i="4"/>
  <c r="B11" i="4"/>
  <c r="A11" i="4"/>
  <c r="F10" i="4"/>
  <c r="E10" i="4"/>
  <c r="D10" i="4"/>
  <c r="C10" i="4"/>
  <c r="B10" i="4"/>
  <c r="A10" i="4"/>
  <c r="F9" i="4"/>
  <c r="E9" i="4"/>
  <c r="D9" i="4"/>
  <c r="C9" i="4"/>
  <c r="B9" i="4"/>
  <c r="A9" i="4"/>
  <c r="F8" i="4"/>
  <c r="E8" i="4"/>
  <c r="D8" i="4"/>
  <c r="C8" i="4"/>
  <c r="B8" i="4"/>
  <c r="A8" i="4"/>
  <c r="F7" i="4"/>
  <c r="E7" i="4"/>
  <c r="D7" i="4"/>
  <c r="C7" i="4"/>
  <c r="B7" i="4"/>
  <c r="A7" i="4"/>
  <c r="F6" i="4"/>
  <c r="E6" i="4"/>
  <c r="D6" i="4"/>
  <c r="C6" i="4"/>
  <c r="B6" i="4"/>
  <c r="A6" i="4"/>
  <c r="F5" i="4"/>
  <c r="E5" i="4"/>
  <c r="D5" i="4"/>
  <c r="C5" i="4"/>
  <c r="B5" i="4"/>
  <c r="A5" i="4"/>
  <c r="F4" i="4"/>
  <c r="E4" i="4"/>
  <c r="D4" i="4"/>
  <c r="C4" i="4"/>
  <c r="B4" i="4"/>
  <c r="A4" i="4"/>
  <c r="F3" i="4"/>
  <c r="E3" i="4"/>
  <c r="D3" i="4"/>
  <c r="C3" i="4"/>
  <c r="B3" i="4"/>
  <c r="A3" i="4"/>
  <c r="F2" i="4"/>
  <c r="E2" i="4"/>
  <c r="D2" i="4"/>
  <c r="C2" i="4"/>
  <c r="B2" i="4"/>
  <c r="A2" i="4"/>
  <c r="H12" i="1"/>
  <c r="B12" i="1"/>
  <c r="H11" i="1"/>
  <c r="B11" i="1"/>
  <c r="H10" i="1"/>
  <c r="B10" i="1"/>
  <c r="H9" i="1"/>
  <c r="B9" i="1"/>
  <c r="H8" i="1"/>
  <c r="H7" i="1"/>
  <c r="E7" i="1"/>
  <c r="B7" i="1"/>
  <c r="H6" i="1"/>
  <c r="E6" i="1"/>
  <c r="B6" i="1"/>
  <c r="H5" i="1"/>
  <c r="E5" i="1"/>
  <c r="B5" i="1"/>
  <c r="H4" i="1"/>
  <c r="E4" i="1"/>
  <c r="B4" i="1"/>
  <c r="B3" i="1"/>
</calcChain>
</file>

<file path=xl/sharedStrings.xml><?xml version="1.0" encoding="utf-8"?>
<sst xmlns="http://schemas.openxmlformats.org/spreadsheetml/2006/main" count="343" uniqueCount="241">
  <si>
    <t>保研院校申请概览</t>
  </si>
  <si>
    <t>总目标数</t>
  </si>
  <si>
    <t>优先级</t>
  </si>
  <si>
    <t>数量</t>
  </si>
  <si>
    <t>申请状态</t>
  </si>
  <si>
    <t>已报名</t>
  </si>
  <si>
    <t>冲刺</t>
  </si>
  <si>
    <t>待关注</t>
  </si>
  <si>
    <t>已入营/入围</t>
  </si>
  <si>
    <t>重点</t>
  </si>
  <si>
    <t>准备材料</t>
  </si>
  <si>
    <t>拟录取</t>
  </si>
  <si>
    <t>稳妥</t>
  </si>
  <si>
    <t>已套磁</t>
  </si>
  <si>
    <t>7天内提醒</t>
  </si>
  <si>
    <t>保底</t>
  </si>
  <si>
    <t>套磁总数</t>
  </si>
  <si>
    <t>已面试</t>
  </si>
  <si>
    <t>积极/已约面谈</t>
  </si>
  <si>
    <t>需跟进</t>
  </si>
  <si>
    <t>未通过</t>
  </si>
  <si>
    <t>3天内跟进</t>
  </si>
  <si>
    <t>放弃</t>
  </si>
  <si>
    <t>序号</t>
  </si>
  <si>
    <t>院校</t>
  </si>
  <si>
    <t>学院/项目</t>
  </si>
  <si>
    <t>学科/方向</t>
  </si>
  <si>
    <t>城市</t>
  </si>
  <si>
    <t>院校层次</t>
  </si>
  <si>
    <t>目标导师/课题组</t>
  </si>
  <si>
    <t>导师匹配度</t>
  </si>
  <si>
    <t>招生类型</t>
  </si>
  <si>
    <t>申请批次</t>
  </si>
  <si>
    <t>报名开始</t>
  </si>
  <si>
    <t>报名截止</t>
  </si>
  <si>
    <t>考核时间</t>
  </si>
  <si>
    <t>材料清单</t>
  </si>
  <si>
    <t>材料完成度</t>
  </si>
  <si>
    <t>考核形式</t>
  </si>
  <si>
    <t>英语要求</t>
  </si>
  <si>
    <t>科研/竞赛要求</t>
  </si>
  <si>
    <t>往年入营/入围参考</t>
  </si>
  <si>
    <t>录取难度</t>
  </si>
  <si>
    <t>优势匹配点</t>
  </si>
  <si>
    <t>主要风险</t>
  </si>
  <si>
    <t>官网/通知链接</t>
  </si>
  <si>
    <t>联系人/邮箱</t>
  </si>
  <si>
    <t>下一步行动</t>
  </si>
  <si>
    <t>提醒日期</t>
  </si>
  <si>
    <t>备注</t>
  </si>
  <si>
    <t>清华大学</t>
  </si>
  <si>
    <t>软件学院</t>
  </si>
  <si>
    <t>人工智能/计算机视觉</t>
  </si>
  <si>
    <t>北京</t>
  </si>
  <si>
    <t>C9/985</t>
  </si>
  <si>
    <t>待确认</t>
  </si>
  <si>
    <t>中</t>
  </si>
  <si>
    <t>学硕/专硕</t>
  </si>
  <si>
    <t>夏令营</t>
  </si>
  <si>
    <t>2026-05-20</t>
  </si>
  <si>
    <t>2026-06-15</t>
  </si>
  <si>
    <t>2026-07-05</t>
  </si>
  <si>
    <t>成绩单、排名证明、简历、个人陈述、推荐信、科研证明</t>
  </si>
  <si>
    <t>40%</t>
  </si>
  <si>
    <t>材料初审+面试</t>
  </si>
  <si>
    <t>六级/雅思/托福</t>
  </si>
  <si>
    <t>论文/项目经历优先</t>
  </si>
  <si>
    <t>参考学院往年通知</t>
  </si>
  <si>
    <t>高</t>
  </si>
  <si>
    <t>科研方向契合，项目经历可突出</t>
  </si>
  <si>
    <t>竞争激烈，需提前联系导师</t>
  </si>
  <si>
    <t>整理导师名单并发送套磁邮件</t>
  </si>
  <si>
    <t>2026-05-18</t>
  </si>
  <si>
    <t>示例，可替换</t>
  </si>
  <si>
    <t>浙江大学</t>
  </si>
  <si>
    <t>计算机科学与技术学院</t>
  </si>
  <si>
    <t>大数据/机器学习</t>
  </si>
  <si>
    <t>杭州</t>
  </si>
  <si>
    <t>直博/硕士</t>
  </si>
  <si>
    <t>预推免</t>
  </si>
  <si>
    <t>2026-08-20</t>
  </si>
  <si>
    <t>2026-09-10</t>
  </si>
  <si>
    <t>2026-09-18</t>
  </si>
  <si>
    <t>简历、成绩单、排名证明、英语成绩、获奖证明</t>
  </si>
  <si>
    <t>60%</t>
  </si>
  <si>
    <t>机试+面试</t>
  </si>
  <si>
    <t>六级优先</t>
  </si>
  <si>
    <t>算法与工程项目经历</t>
  </si>
  <si>
    <t>方向匹配度高，城市偏好强</t>
  </si>
  <si>
    <t>机试需提前训练</t>
  </si>
  <si>
    <t>补充项目介绍页与机试刷题计划</t>
  </si>
  <si>
    <t>2026-08-10</t>
  </si>
  <si>
    <t>待报名</t>
  </si>
  <si>
    <t>南京大学</t>
  </si>
  <si>
    <t>人工智能学院</t>
  </si>
  <si>
    <t>智能软件/深度学习</t>
  </si>
  <si>
    <t>南京</t>
  </si>
  <si>
    <t>985</t>
  </si>
  <si>
    <t>硕士</t>
  </si>
  <si>
    <t>九推</t>
  </si>
  <si>
    <t>2026-09-20</t>
  </si>
  <si>
    <t>2026-09-25</t>
  </si>
  <si>
    <t>2026-09-28</t>
  </si>
  <si>
    <t>推免系统信息、复试材料</t>
  </si>
  <si>
    <t>20%</t>
  </si>
  <si>
    <t>面试</t>
  </si>
  <si>
    <t>六级</t>
  </si>
  <si>
    <t>科研经历加分</t>
  </si>
  <si>
    <t>中低</t>
  </si>
  <si>
    <t>综合背景较匹配</t>
  </si>
  <si>
    <t>九推名额不确定</t>
  </si>
  <si>
    <t>关注推免系统开放与学院通知</t>
  </si>
  <si>
    <t>2026-09-15</t>
  </si>
  <si>
    <t>导师姓名</t>
  </si>
  <si>
    <t>研究方向</t>
  </si>
  <si>
    <t>导师主页/课题组链接</t>
  </si>
  <si>
    <t>套磁状态</t>
  </si>
  <si>
    <t>首次联系日期</t>
  </si>
  <si>
    <t>导师态度</t>
  </si>
  <si>
    <t>可招生名额/意向</t>
  </si>
  <si>
    <t>面谈/会议安排</t>
  </si>
  <si>
    <t>风险点</t>
  </si>
  <si>
    <t>待发送</t>
  </si>
  <si>
    <t>待回复</t>
  </si>
  <si>
    <t>方向竞争激烈，需突出科研匹配</t>
  </si>
  <si>
    <t>已发送</t>
  </si>
  <si>
    <t>若无回复需准备备选导师</t>
  </si>
  <si>
    <t>日期</t>
  </si>
  <si>
    <t>批次</t>
  </si>
  <si>
    <t>事项</t>
  </si>
  <si>
    <t>状态</t>
  </si>
  <si>
    <t>方向匹配</t>
  </si>
  <si>
    <t>导师匹配</t>
  </si>
  <si>
    <t>城市偏好</t>
  </si>
  <si>
    <t>平台资源</t>
  </si>
  <si>
    <t>录取把握</t>
  </si>
  <si>
    <t>个人发展</t>
  </si>
  <si>
    <t>综合分</t>
  </si>
  <si>
    <t>建议档位</t>
  </si>
  <si>
    <t>项目</t>
  </si>
  <si>
    <t>说明</t>
  </si>
  <si>
    <t>用途</t>
  </si>
  <si>
    <t>用于集中管理保研目标院校、申请节点、导师方向、材料进度、风险判断和择校评分。</t>
  </si>
  <si>
    <t>填写建议</t>
  </si>
  <si>
    <t>先在“院校信息总表”中录入所有候选院校，再按优先级和申请状态筛选。</t>
  </si>
  <si>
    <t>时间提醒</t>
  </si>
  <si>
    <t>在“提醒日期”填写下一步行动前的提醒日，7天内事项会在概览看板统计。</t>
  </si>
  <si>
    <t>评分模型</t>
  </si>
  <si>
    <t>在“择校评分模型”中按 0-10 分评价各维度，综合分会自动给出申请建议。</t>
  </si>
  <si>
    <t>可调整</t>
  </si>
  <si>
    <t>下拉选项保存在隐藏的“选项”工作表中，如需修改可取消隐藏后编辑。</t>
  </si>
  <si>
    <t>套磁情况</t>
  </si>
  <si>
    <t>用于记录导师联系进展、回复态度、跟进日期、面谈安排和下一步动作；概览看板会同步统计套磁进度。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</si>
  <si>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</si>
  <si>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</si>
  <si>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</si>
  <si>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</si>
  <si>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</si>
  <si>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</si>
  <si>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</si>
  <si>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</si>
  <si>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</si>
  <si>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</si>
  <si>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学硕</t>
  </si>
  <si>
    <t>材料初审</t>
  </si>
  <si>
    <t>积极</t>
  </si>
  <si>
    <t>专硕</t>
  </si>
  <si>
    <t>笔试</t>
  </si>
  <si>
    <t>中性</t>
  </si>
  <si>
    <t>211</t>
  </si>
  <si>
    <t>低</t>
  </si>
  <si>
    <t>直博</t>
  </si>
  <si>
    <t>机试</t>
  </si>
  <si>
    <t>已回复</t>
  </si>
  <si>
    <t>双一流</t>
  </si>
  <si>
    <t>待评估</t>
  </si>
  <si>
    <t>导师单独招生</t>
  </si>
  <si>
    <t>婉拒</t>
  </si>
  <si>
    <t>中科院</t>
  </si>
  <si>
    <t>其他</t>
  </si>
  <si>
    <t>已约面谈</t>
  </si>
  <si>
    <t>无回复</t>
  </si>
  <si>
    <t>科研院所</t>
  </si>
  <si>
    <t>笔试+面试</t>
  </si>
  <si>
    <t>建议联系其他老师</t>
  </si>
  <si>
    <t>暂停</t>
  </si>
  <si>
    <t>东南大学</t>
    <phoneticPr fontId="5" type="noConversion"/>
  </si>
  <si>
    <t>Palm实验室</t>
    <phoneticPr fontId="5" type="noConversion"/>
  </si>
  <si>
    <t>南开大学</t>
    <phoneticPr fontId="5" type="noConversion"/>
  </si>
  <si>
    <t>孙国磊</t>
    <phoneticPr fontId="5" type="noConversion"/>
  </si>
  <si>
    <t>杨旭</t>
    <phoneticPr fontId="5" type="noConversion"/>
  </si>
  <si>
    <t>计算机视觉、视频理解和多模态大模型方向</t>
    <phoneticPr fontId="5" type="noConversion"/>
  </si>
  <si>
    <t>https://guoleisun.github.io/</t>
    <phoneticPr fontId="5" type="noConversion"/>
  </si>
  <si>
    <t>https://yxpalmweb.github.io/</t>
    <phoneticPr fontId="5" type="noConversion"/>
  </si>
  <si>
    <t>视觉-语言任务，大型语言模型</t>
    <phoneticPr fontId="5" type="noConversion"/>
  </si>
  <si>
    <t>已发送（5.12已读）</t>
    <phoneticPr fontId="5" type="noConversion"/>
  </si>
  <si>
    <t>中国科学技术大学</t>
    <phoneticPr fontId="5" type="noConversion"/>
  </si>
  <si>
    <t>先研院</t>
    <phoneticPr fontId="5" type="noConversion"/>
  </si>
  <si>
    <t>https://leinao.ustc.edu.cn/2021/0430/c25925a483538/page.htm</t>
    <phoneticPr fontId="5" type="noConversion"/>
  </si>
  <si>
    <t>熊志伟</t>
    <phoneticPr fontId="5" type="noConversion"/>
  </si>
  <si>
    <t>图像处理、计算机视觉</t>
    <phoneticPr fontId="5" type="noConversion"/>
  </si>
  <si>
    <t>已发送（5.13已读）</t>
    <phoneticPr fontId="5" type="noConversion"/>
  </si>
  <si>
    <t>王利民</t>
    <phoneticPr fontId="5" type="noConversion"/>
  </si>
  <si>
    <t>计算机学院</t>
    <phoneticPr fontId="5" type="noConversion"/>
  </si>
  <si>
    <t>南京大学</t>
    <phoneticPr fontId="5" type="noConversion"/>
  </si>
  <si>
    <t>计算机视觉和多模态大模型</t>
    <phoneticPr fontId="5" type="noConversion"/>
  </si>
  <si>
    <t>https://wanglimin.github.io/</t>
    <phoneticPr fontId="5" type="noConversion"/>
  </si>
  <si>
    <t>浙江大学</t>
    <phoneticPr fontId="5" type="noConversion"/>
  </si>
  <si>
    <t>人工智能学院</t>
    <phoneticPr fontId="5" type="noConversion"/>
  </si>
  <si>
    <t>汤斯亮</t>
  </si>
  <si>
    <t>自然语言处理、多模态大模型、具身智能</t>
    <phoneticPr fontId="5" type="noConversion"/>
  </si>
  <si>
    <t>已发送</t>
    <phoneticPr fontId="5" type="noConversion"/>
  </si>
  <si>
    <t>汤斯亮-浙江大学个人主页</t>
    <phoneticPr fontId="5" type="noConversion"/>
  </si>
  <si>
    <t>复旦大学</t>
    <phoneticPr fontId="5" type="noConversion"/>
  </si>
  <si>
    <t>未来信息学院</t>
    <phoneticPr fontId="5" type="noConversion"/>
  </si>
  <si>
    <t>王斌</t>
    <phoneticPr fontId="5" type="noConversion"/>
  </si>
  <si>
    <t>高光谱图像</t>
    <phoneticPr fontId="5" type="noConversion"/>
  </si>
  <si>
    <t>张天柱</t>
    <phoneticPr fontId="5" type="noConversion"/>
  </si>
  <si>
    <t>计算机视觉</t>
    <phoneticPr fontId="5" type="noConversion"/>
  </si>
  <si>
    <t>厦门大学</t>
    <phoneticPr fontId="5" type="noConversion"/>
  </si>
  <si>
    <t>Mac实验室</t>
    <phoneticPr fontId="5" type="noConversion"/>
  </si>
  <si>
    <t>周奕毅</t>
    <phoneticPr fontId="5" type="noConversion"/>
  </si>
  <si>
    <t>视觉与语言学习</t>
    <phoneticPr fontId="5" type="noConversion"/>
  </si>
  <si>
    <t>周奕毅-厦大信息学院（旧）</t>
  </si>
  <si>
    <t>中国科学技术大学 张天柱--中文主页--首页</t>
  </si>
  <si>
    <t>https://bcaosudo.github.io/</t>
    <phoneticPr fontId="5" type="noConversion"/>
  </si>
  <si>
    <t>曹兵</t>
    <phoneticPr fontId="5" type="noConversion"/>
  </si>
  <si>
    <t>天津大学</t>
    <phoneticPr fontId="5" type="noConversion"/>
  </si>
  <si>
    <t>智算学院</t>
    <phoneticPr fontId="5" type="noConversion"/>
  </si>
  <si>
    <t>http://ee.fudan.edu.cn/Data/View/755</t>
    <phoneticPr fontId="5" type="noConversion"/>
  </si>
  <si>
    <t>北京大学</t>
    <phoneticPr fontId="5" type="noConversion"/>
  </si>
  <si>
    <t>遥感与地理学院</t>
    <phoneticPr fontId="5" type="noConversion"/>
  </si>
  <si>
    <t>张帆</t>
    <phoneticPr fontId="5" type="noConversion"/>
  </si>
  <si>
    <t>北京大学遥感与地理信息研究所</t>
  </si>
  <si>
    <t>遥感人工智能</t>
    <phoneticPr fontId="5" type="noConversion"/>
  </si>
  <si>
    <t>已发送（5.14已读）</t>
    <phoneticPr fontId="5" type="noConversion"/>
  </si>
  <si>
    <t>自动化系10系</t>
    <phoneticPr fontId="5" type="noConversion"/>
  </si>
  <si>
    <t>深圳研究院</t>
    <phoneticPr fontId="5" type="noConversion"/>
  </si>
  <si>
    <t>高伟</t>
  </si>
  <si>
    <t>3D视觉智能、多模态智能及应用</t>
    <phoneticPr fontId="5" type="noConversion"/>
  </si>
  <si>
    <t>https://www.ece.pku.edu.cn/info/1046/2483.htm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</si>
</sst>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color theme="1"/>
      <name val="宋体"/>
      <family val="2"/>
      <scheme val="minor"/>
    </font>
    <font>
      <b/>
      <sz val="11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b/>
      <sz val="18"/>
      <color rgb="FF1F4E78"/>
      <name val="Microsoft YaHei"/>
      <family val="2"/>
      <charset val="134"/>
    </font>
    <font>
      <b/>
      <sz val="11"/>
      <color rgb="FF1F4E78"/>
      <name val="Microsoft YaHei"/>
      <family val="2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6" fontId="2" fillId="0" borderId="1" xfId="0" applyNumberFormat="1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0" borderId="1" xfId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6" fillId="0" borderId="0" xfId="1" applyAlignment="1">
      <alignment vertical="center"/>
    </xf>
  </cellXfs>
  <cellStyles count="2">
    <cellStyle name="常规" xfId="0" builtinId="0"/>
    <cellStyle name="超链接" xfId="1" builtinId="8"/>
  </cellStyles>
  <dxfs count="15"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D9EAF7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D9EAF7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优先级分布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概览看板!$E$3</c:f>
              <c:strCache>
                <c:ptCount val="1"/>
                <c:pt idx="0">
                  <c:v>数量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概览看板!$D$4:$D$7</c:f>
              <c:strCache>
                <c:ptCount val="4"/>
                <c:pt idx="0">
                  <c:v>冲刺</c:v>
                </c:pt>
                <c:pt idx="1">
                  <c:v>重点</c:v>
                </c:pt>
                <c:pt idx="2">
                  <c:v>稳妥</c:v>
                </c:pt>
                <c:pt idx="3">
                  <c:v>保底</c:v>
                </c:pt>
              </c:strCache>
            </c:strRef>
          </c:cat>
          <c:val>
            <c:numRef>
              <c:f>概览看板!$E$4:$E$7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C6-4277-B5EC-7E39E701F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优先级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数量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申请状态分布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概览看板!$H$3</c:f>
              <c:strCache>
                <c:ptCount val="1"/>
                <c:pt idx="0">
                  <c:v>数量</c:v>
                </c:pt>
              </c:strCache>
            </c:strRef>
          </c:tx>
          <c:spPr>
            <a:ln>
              <a:prstDash val="solid"/>
            </a:ln>
          </c:spPr>
          <c:cat>
            <c:strRef>
              <c:f>概览看板!$G$4:$G$12</c:f>
              <c:strCache>
                <c:ptCount val="9"/>
                <c:pt idx="0">
                  <c:v>待关注</c:v>
                </c:pt>
                <c:pt idx="1">
                  <c:v>准备材料</c:v>
                </c:pt>
                <c:pt idx="2">
                  <c:v>已套磁</c:v>
                </c:pt>
                <c:pt idx="3">
                  <c:v>已报名</c:v>
                </c:pt>
                <c:pt idx="4">
                  <c:v>已入营/入围</c:v>
                </c:pt>
                <c:pt idx="5">
                  <c:v>已面试</c:v>
                </c:pt>
                <c:pt idx="6">
                  <c:v>拟录取</c:v>
                </c:pt>
                <c:pt idx="7">
                  <c:v>未通过</c:v>
                </c:pt>
                <c:pt idx="8">
                  <c:v>放弃</c:v>
                </c:pt>
              </c:strCache>
            </c:strRef>
          </c:cat>
          <c:val>
            <c:numRef>
              <c:f>概览看板!$H$4:$H$12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2-48ED-AD77-9DC390927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9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9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oolInfoTable" displayName="SchoolInfoTable" ref="A1:AC300">
  <autoFilter ref="A1:AC300" xr:uid="{00000000-0009-0000-0100-000001000000}"/>
  <tableColumns count="29">
    <tableColumn id="1" xr3:uid="{00000000-0010-0000-0000-000001000000}" name="序号"/>
    <tableColumn id="2" xr3:uid="{00000000-0010-0000-0000-000002000000}" name="优先级"/>
    <tableColumn id="3" xr3:uid="{00000000-0010-0000-0000-000003000000}" name="申请状态"/>
    <tableColumn id="4" xr3:uid="{00000000-0010-0000-0000-000004000000}" name="院校"/>
    <tableColumn id="5" xr3:uid="{00000000-0010-0000-0000-000005000000}" name="学院/项目"/>
    <tableColumn id="6" xr3:uid="{00000000-0010-0000-0000-000006000000}" name="学科/方向"/>
    <tableColumn id="7" xr3:uid="{00000000-0010-0000-0000-000007000000}" name="城市"/>
    <tableColumn id="8" xr3:uid="{00000000-0010-0000-0000-000008000000}" name="院校层次"/>
    <tableColumn id="9" xr3:uid="{00000000-0010-0000-0000-000009000000}" name="目标导师/课题组"/>
    <tableColumn id="10" xr3:uid="{00000000-0010-0000-0000-00000A000000}" name="导师匹配度"/>
    <tableColumn id="11" xr3:uid="{00000000-0010-0000-0000-00000B000000}" name="招生类型"/>
    <tableColumn id="12" xr3:uid="{00000000-0010-0000-0000-00000C000000}" name="申请批次"/>
    <tableColumn id="13" xr3:uid="{00000000-0010-0000-0000-00000D000000}" name="报名开始"/>
    <tableColumn id="14" xr3:uid="{00000000-0010-0000-0000-00000E000000}" name="报名截止"/>
    <tableColumn id="15" xr3:uid="{00000000-0010-0000-0000-00000F000000}" name="考核时间"/>
    <tableColumn id="16" xr3:uid="{00000000-0010-0000-0000-000010000000}" name="材料清单"/>
    <tableColumn id="17" xr3:uid="{00000000-0010-0000-0000-000011000000}" name="材料完成度"/>
    <tableColumn id="18" xr3:uid="{00000000-0010-0000-0000-000012000000}" name="考核形式"/>
    <tableColumn id="19" xr3:uid="{00000000-0010-0000-0000-000013000000}" name="英语要求"/>
    <tableColumn id="20" xr3:uid="{00000000-0010-0000-0000-000014000000}" name="科研/竞赛要求"/>
    <tableColumn id="21" xr3:uid="{00000000-0010-0000-0000-000015000000}" name="往年入营/入围参考"/>
    <tableColumn id="22" xr3:uid="{00000000-0010-0000-0000-000016000000}" name="录取难度"/>
    <tableColumn id="23" xr3:uid="{00000000-0010-0000-0000-000017000000}" name="优势匹配点"/>
    <tableColumn id="24" xr3:uid="{00000000-0010-0000-0000-000018000000}" name="主要风险"/>
    <tableColumn id="25" xr3:uid="{00000000-0010-0000-0000-000019000000}" name="官网/通知链接"/>
    <tableColumn id="26" xr3:uid="{00000000-0010-0000-0000-00001A000000}" name="联系人/邮箱"/>
    <tableColumn id="27" xr3:uid="{00000000-0010-0000-0000-00001B000000}" name="下一步行动"/>
    <tableColumn id="28" xr3:uid="{00000000-0010-0000-0000-00001C000000}" name="提醒日期"/>
    <tableColumn id="29" xr3:uid="{00000000-0010-0000-0000-00001D000000}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ntactStatusTable" displayName="ContactStatusTable" ref="A1:N300">
  <autoFilter ref="A1:N300" xr:uid="{00000000-0009-0000-0100-000002000000}"/>
  <tableColumns count="14">
    <tableColumn id="1" xr3:uid="{00000000-0010-0000-0100-000001000000}" name="序号"/>
    <tableColumn id="2" xr3:uid="{00000000-0010-0000-0100-000002000000}" name="院校"/>
    <tableColumn id="3" xr3:uid="{00000000-0010-0000-0100-000003000000}" name="学院/项目"/>
    <tableColumn id="4" xr3:uid="{00000000-0010-0000-0100-000004000000}" name="导师姓名"/>
    <tableColumn id="6" xr3:uid="{00000000-0010-0000-0100-000006000000}" name="研究方向"/>
    <tableColumn id="7" xr3:uid="{00000000-0010-0000-0100-000007000000}" name="导师主页/课题组链接"/>
    <tableColumn id="10" xr3:uid="{00000000-0010-0000-0100-00000A000000}" name="套磁状态"/>
    <tableColumn id="11" xr3:uid="{00000000-0010-0000-0100-00000B000000}" name="首次联系日期"/>
    <tableColumn id="17" xr3:uid="{00000000-0010-0000-0100-000011000000}" name="导师态度"/>
    <tableColumn id="18" xr3:uid="{00000000-0010-0000-0100-000012000000}" name="可招生名额/意向"/>
    <tableColumn id="19" xr3:uid="{00000000-0010-0000-0100-000013000000}" name="面谈/会议安排"/>
    <tableColumn id="21" xr3:uid="{00000000-0010-0000-0100-000015000000}" name="风险点"/>
    <tableColumn id="22" xr3:uid="{00000000-0010-0000-0100-000016000000}" name="优先级"/>
    <tableColumn id="23" xr3:uid="{00000000-0010-0000-0100-000017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bcaosudo.github.io/" TargetMode="External"/><Relationship Id="rId3" Type="http://schemas.openxmlformats.org/officeDocument/2006/relationships/hyperlink" Target="https://leinao.ustc.edu.cn/2021/0430/c25925a483538/page.htm" TargetMode="External"/><Relationship Id="rId7" Type="http://schemas.openxmlformats.org/officeDocument/2006/relationships/hyperlink" Target="https://faculty.ustc.edu.cn/zhangtianzhu/zh_CN/index.htm" TargetMode="External"/><Relationship Id="rId12" Type="http://schemas.openxmlformats.org/officeDocument/2006/relationships/table" Target="../tables/table2.xml"/><Relationship Id="rId2" Type="http://schemas.openxmlformats.org/officeDocument/2006/relationships/hyperlink" Target="https://yxpalmweb.github.io/" TargetMode="External"/><Relationship Id="rId1" Type="http://schemas.openxmlformats.org/officeDocument/2006/relationships/hyperlink" Target="https://guoleisun.github.io/" TargetMode="External"/><Relationship Id="rId6" Type="http://schemas.openxmlformats.org/officeDocument/2006/relationships/hyperlink" Target="https://informatics.xmu.edu.cn/old/info/1395/25099.htm" TargetMode="External"/><Relationship Id="rId11" Type="http://schemas.openxmlformats.org/officeDocument/2006/relationships/hyperlink" Target="https://www.ece.pku.edu.cn/info/1046/2483.htm" TargetMode="External"/><Relationship Id="rId5" Type="http://schemas.openxmlformats.org/officeDocument/2006/relationships/hyperlink" Target="https://person.zju.edu.cn/siliang" TargetMode="External"/><Relationship Id="rId10" Type="http://schemas.openxmlformats.org/officeDocument/2006/relationships/hyperlink" Target="https://irsgis.pku.edu.cn/ls/gis1111/zf/index.htm" TargetMode="External"/><Relationship Id="rId4" Type="http://schemas.openxmlformats.org/officeDocument/2006/relationships/hyperlink" Target="https://wanglimin.github.io/" TargetMode="External"/><Relationship Id="rId9" Type="http://schemas.openxmlformats.org/officeDocument/2006/relationships/hyperlink" Target="http://ee.fudan.edu.cn/Data/View/7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workbookViewId="0"/>
  </sheetViews>
  <sheetFormatPr defaultRowHeight="14"/>
  <cols>
    <col min="1" max="8" width="14" customWidth="1"/>
  </cols>
  <sheetData>
    <row r="1" spans="1:8" ht="25">
      <c r="A1" s="1" t="s">
        <v>0</v>
      </c>
    </row>
    <row r="3" spans="1:8" ht="16.5">
      <c r="A3" s="2" t="s">
        <v>1</v>
      </c>
      <c r="B3" s="3">
        <f>COUNTA(院校信息总表!D2:D300)</f>
        <v>3</v>
      </c>
      <c r="C3" s="3"/>
      <c r="D3" s="2" t="s">
        <v>2</v>
      </c>
      <c r="E3" s="2" t="s">
        <v>3</v>
      </c>
      <c r="F3" s="3"/>
      <c r="G3" s="2" t="s">
        <v>4</v>
      </c>
      <c r="H3" s="2" t="s">
        <v>3</v>
      </c>
    </row>
    <row r="4" spans="1:8" ht="16.5">
      <c r="A4" s="2" t="s">
        <v>5</v>
      </c>
      <c r="B4" s="3">
        <f>COUNTIF(院校信息总表!C2:C300,"已报名")</f>
        <v>0</v>
      </c>
      <c r="C4" s="3"/>
      <c r="D4" s="3" t="s">
        <v>6</v>
      </c>
      <c r="E4" s="3">
        <f>COUNTIF(院校信息总表!B2:B300,D4)</f>
        <v>1</v>
      </c>
      <c r="F4" s="3"/>
      <c r="G4" s="3" t="s">
        <v>7</v>
      </c>
      <c r="H4" s="3">
        <f>COUNTIF(院校信息总表!C2:C300,G4)</f>
        <v>1</v>
      </c>
    </row>
    <row r="5" spans="1:8" ht="16.5">
      <c r="A5" s="2" t="s">
        <v>8</v>
      </c>
      <c r="B5" s="3">
        <f>COUNTIF(院校信息总表!C2:C300,"已入营/入围")</f>
        <v>0</v>
      </c>
      <c r="C5" s="3"/>
      <c r="D5" s="3" t="s">
        <v>9</v>
      </c>
      <c r="E5" s="3">
        <f>COUNTIF(院校信息总表!B2:B300,D5)</f>
        <v>0</v>
      </c>
      <c r="F5" s="3"/>
      <c r="G5" s="3" t="s">
        <v>10</v>
      </c>
      <c r="H5" s="3">
        <f>COUNTIF(院校信息总表!C2:C300,G5)</f>
        <v>1</v>
      </c>
    </row>
    <row r="6" spans="1:8" ht="16.5">
      <c r="A6" s="2" t="s">
        <v>11</v>
      </c>
      <c r="B6" s="3">
        <f>COUNTIF(院校信息总表!C2:C300,"拟录取")</f>
        <v>0</v>
      </c>
      <c r="C6" s="3"/>
      <c r="D6" s="3" t="s">
        <v>12</v>
      </c>
      <c r="E6" s="3">
        <f>COUNTIF(院校信息总表!B2:B300,D6)</f>
        <v>1</v>
      </c>
      <c r="F6" s="3"/>
      <c r="G6" s="3" t="s">
        <v>13</v>
      </c>
      <c r="H6" s="3">
        <f>COUNTIF(院校信息总表!C2:C300,G6)</f>
        <v>0</v>
      </c>
    </row>
    <row r="7" spans="1:8" ht="16.5">
      <c r="A7" s="2" t="s">
        <v>14</v>
      </c>
      <c r="B7" s="3">
        <f ca="1">COUNTIFS(院校信息总表!AB2:AB300,"&lt;="&amp;TODAY()+7,院校信息总表!AB2:AB300,"&gt;="&amp;TODAY())</f>
        <v>0</v>
      </c>
      <c r="C7" s="3"/>
      <c r="D7" s="3" t="s">
        <v>15</v>
      </c>
      <c r="E7" s="3">
        <f>COUNTIF(院校信息总表!B2:B300,D7)</f>
        <v>1</v>
      </c>
      <c r="F7" s="3"/>
      <c r="G7" s="3" t="s">
        <v>5</v>
      </c>
      <c r="H7" s="3">
        <f>COUNTIF(院校信息总表!C2:C300,G7)</f>
        <v>0</v>
      </c>
    </row>
    <row r="8" spans="1:8" ht="14.5">
      <c r="A8" s="3"/>
      <c r="B8" s="3"/>
      <c r="C8" s="3"/>
      <c r="D8" s="3"/>
      <c r="E8" s="3"/>
      <c r="F8" s="3"/>
      <c r="G8" s="3" t="s">
        <v>8</v>
      </c>
      <c r="H8" s="3">
        <f>COUNTIF(院校信息总表!C2:C300,G8)</f>
        <v>0</v>
      </c>
    </row>
    <row r="9" spans="1:8" ht="16.5">
      <c r="A9" s="11" t="s">
        <v>16</v>
      </c>
      <c r="B9" s="9">
        <f>COUNTA(套磁情况!D2:D300)</f>
        <v>11</v>
      </c>
      <c r="C9" s="3"/>
      <c r="D9" s="3"/>
      <c r="E9" s="3"/>
      <c r="F9" s="3"/>
      <c r="G9" s="3" t="s">
        <v>17</v>
      </c>
      <c r="H9" s="3">
        <f>COUNTIF(院校信息总表!C2:C300,G9)</f>
        <v>0</v>
      </c>
    </row>
    <row r="10" spans="1:8" ht="16.5">
      <c r="A10" s="11" t="s">
        <v>18</v>
      </c>
      <c r="B10" s="9">
        <f>COUNTIF(套磁情况!G2:G300,"积极")+COUNTIF(套磁情况!G2:G300,"已约面谈")</f>
        <v>0</v>
      </c>
      <c r="C10" s="3"/>
      <c r="D10" s="3"/>
      <c r="E10" s="3"/>
      <c r="F10" s="3"/>
      <c r="G10" s="3" t="s">
        <v>11</v>
      </c>
      <c r="H10" s="3">
        <f>COUNTIF(院校信息总表!C2:C300,G10)</f>
        <v>0</v>
      </c>
    </row>
    <row r="11" spans="1:8" ht="16.5">
      <c r="A11" s="11" t="s">
        <v>19</v>
      </c>
      <c r="B11" s="9">
        <f>COUNTIF(套磁情况!G2:G300,"需跟进")</f>
        <v>0</v>
      </c>
      <c r="C11" s="3"/>
      <c r="D11" s="3"/>
      <c r="E11" s="3"/>
      <c r="F11" s="3"/>
      <c r="G11" s="3" t="s">
        <v>20</v>
      </c>
      <c r="H11" s="3">
        <f>COUNTIF(院校信息总表!C2:C300,G11)</f>
        <v>0</v>
      </c>
    </row>
    <row r="12" spans="1:8" ht="16.5">
      <c r="A12" s="11" t="s">
        <v>21</v>
      </c>
      <c r="B12" s="9" t="e">
        <f ca="1">COUNTIFS(套磁情况!#REF!,"&lt;="&amp;TODAY()+3,套磁情况!#REF!,"&gt;="&amp;TODAY())</f>
        <v>#REF!</v>
      </c>
      <c r="C12" s="3"/>
      <c r="D12" s="3"/>
      <c r="E12" s="3"/>
      <c r="F12" s="3"/>
      <c r="G12" s="3" t="s">
        <v>22</v>
      </c>
      <c r="H12" s="3">
        <f>COUNTIF(院校信息总表!C2:C300,G12)</f>
        <v>0</v>
      </c>
    </row>
  </sheetData>
  <phoneticPr fontId="5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00"/>
  <sheetViews>
    <sheetView showGridLines="0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"/>
  <cols>
    <col min="1" max="1" width="7" customWidth="1"/>
    <col min="2" max="2" width="10" customWidth="1"/>
    <col min="3" max="3" width="12" customWidth="1"/>
    <col min="4" max="4" width="16" customWidth="1"/>
    <col min="5" max="6" width="22" customWidth="1"/>
    <col min="7" max="7" width="10" customWidth="1"/>
    <col min="8" max="8" width="12" customWidth="1"/>
    <col min="9" max="9" width="20" customWidth="1"/>
    <col min="10" max="15" width="12" customWidth="1"/>
    <col min="16" max="16" width="36" customWidth="1"/>
    <col min="17" max="17" width="12" customWidth="1"/>
    <col min="18" max="18" width="18" customWidth="1"/>
    <col min="19" max="19" width="14" customWidth="1"/>
    <col min="20" max="20" width="22" customWidth="1"/>
    <col min="21" max="21" width="20" customWidth="1"/>
    <col min="22" max="22" width="12" customWidth="1"/>
    <col min="23" max="24" width="28" customWidth="1"/>
    <col min="25" max="25" width="26" customWidth="1"/>
    <col min="26" max="26" width="18" customWidth="1"/>
    <col min="27" max="27" width="26" customWidth="1"/>
    <col min="28" max="28" width="12" customWidth="1"/>
    <col min="29" max="29" width="24" customWidth="1"/>
  </cols>
  <sheetData>
    <row r="1" spans="1:29" ht="34" customHeight="1">
      <c r="A1" s="4" t="s">
        <v>23</v>
      </c>
      <c r="B1" s="4" t="s">
        <v>2</v>
      </c>
      <c r="C1" s="4" t="s">
        <v>4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  <c r="M1" s="4" t="s">
        <v>33</v>
      </c>
      <c r="N1" s="4" t="s">
        <v>34</v>
      </c>
      <c r="O1" s="4" t="s">
        <v>35</v>
      </c>
      <c r="P1" s="4" t="s">
        <v>36</v>
      </c>
      <c r="Q1" s="4" t="s">
        <v>37</v>
      </c>
      <c r="R1" s="4" t="s">
        <v>38</v>
      </c>
      <c r="S1" s="4" t="s">
        <v>39</v>
      </c>
      <c r="T1" s="4" t="s">
        <v>40</v>
      </c>
      <c r="U1" s="4" t="s">
        <v>41</v>
      </c>
      <c r="V1" s="4" t="s">
        <v>42</v>
      </c>
      <c r="W1" s="4" t="s">
        <v>43</v>
      </c>
      <c r="X1" s="4" t="s">
        <v>44</v>
      </c>
      <c r="Y1" s="4" t="s">
        <v>45</v>
      </c>
      <c r="Z1" s="4" t="s">
        <v>46</v>
      </c>
      <c r="AA1" s="4" t="s">
        <v>47</v>
      </c>
      <c r="AB1" s="4" t="s">
        <v>48</v>
      </c>
      <c r="AC1" s="4" t="s">
        <v>49</v>
      </c>
    </row>
    <row r="2" spans="1:29" ht="42" customHeight="1">
      <c r="A2" s="5">
        <v>1</v>
      </c>
      <c r="B2" s="5" t="s">
        <v>6</v>
      </c>
      <c r="C2" s="5" t="s">
        <v>7</v>
      </c>
      <c r="D2" s="5" t="s">
        <v>50</v>
      </c>
      <c r="E2" s="5" t="s">
        <v>51</v>
      </c>
      <c r="F2" s="5" t="s">
        <v>52</v>
      </c>
      <c r="G2" s="5" t="s">
        <v>53</v>
      </c>
      <c r="H2" s="5" t="s">
        <v>54</v>
      </c>
      <c r="I2" s="5" t="s">
        <v>55</v>
      </c>
      <c r="J2" s="5" t="s">
        <v>56</v>
      </c>
      <c r="K2" s="5" t="s">
        <v>57</v>
      </c>
      <c r="L2" s="5" t="s">
        <v>58</v>
      </c>
      <c r="M2" s="6" t="s">
        <v>59</v>
      </c>
      <c r="N2" s="6" t="s">
        <v>60</v>
      </c>
      <c r="O2" s="6" t="s">
        <v>61</v>
      </c>
      <c r="P2" s="5" t="s">
        <v>62</v>
      </c>
      <c r="Q2" s="7" t="s">
        <v>63</v>
      </c>
      <c r="R2" s="5" t="s">
        <v>64</v>
      </c>
      <c r="S2" s="5" t="s">
        <v>65</v>
      </c>
      <c r="T2" s="5" t="s">
        <v>66</v>
      </c>
      <c r="U2" s="5" t="s">
        <v>67</v>
      </c>
      <c r="V2" s="5" t="s">
        <v>68</v>
      </c>
      <c r="W2" s="5" t="s">
        <v>69</v>
      </c>
      <c r="X2" s="5" t="s">
        <v>70</v>
      </c>
      <c r="Y2" s="5"/>
      <c r="Z2" s="5"/>
      <c r="AA2" s="5" t="s">
        <v>71</v>
      </c>
      <c r="AB2" s="6" t="s">
        <v>72</v>
      </c>
      <c r="AC2" s="5" t="s">
        <v>73</v>
      </c>
    </row>
    <row r="3" spans="1:29" ht="42" customHeight="1">
      <c r="A3" s="5">
        <v>2</v>
      </c>
      <c r="B3" s="5" t="s">
        <v>12</v>
      </c>
      <c r="C3" s="5" t="s">
        <v>10</v>
      </c>
      <c r="D3" s="5" t="s">
        <v>74</v>
      </c>
      <c r="E3" s="5" t="s">
        <v>75</v>
      </c>
      <c r="F3" s="5" t="s">
        <v>76</v>
      </c>
      <c r="G3" s="5" t="s">
        <v>77</v>
      </c>
      <c r="H3" s="5" t="s">
        <v>54</v>
      </c>
      <c r="I3" s="5" t="s">
        <v>55</v>
      </c>
      <c r="J3" s="5" t="s">
        <v>68</v>
      </c>
      <c r="K3" s="5" t="s">
        <v>78</v>
      </c>
      <c r="L3" s="5" t="s">
        <v>79</v>
      </c>
      <c r="M3" s="6" t="s">
        <v>80</v>
      </c>
      <c r="N3" s="6" t="s">
        <v>81</v>
      </c>
      <c r="O3" s="6" t="s">
        <v>82</v>
      </c>
      <c r="P3" s="5" t="s">
        <v>83</v>
      </c>
      <c r="Q3" s="7" t="s">
        <v>84</v>
      </c>
      <c r="R3" s="5" t="s">
        <v>85</v>
      </c>
      <c r="S3" s="5" t="s">
        <v>86</v>
      </c>
      <c r="T3" s="5" t="s">
        <v>87</v>
      </c>
      <c r="U3" s="5" t="s">
        <v>67</v>
      </c>
      <c r="V3" s="5" t="s">
        <v>56</v>
      </c>
      <c r="W3" s="5" t="s">
        <v>88</v>
      </c>
      <c r="X3" s="5" t="s">
        <v>89</v>
      </c>
      <c r="Y3" s="5"/>
      <c r="Z3" s="5"/>
      <c r="AA3" s="5" t="s">
        <v>90</v>
      </c>
      <c r="AB3" s="6" t="s">
        <v>91</v>
      </c>
      <c r="AC3" s="5" t="s">
        <v>73</v>
      </c>
    </row>
    <row r="4" spans="1:29" ht="42" customHeight="1">
      <c r="A4" s="5">
        <v>3</v>
      </c>
      <c r="B4" s="5" t="s">
        <v>15</v>
      </c>
      <c r="C4" s="5" t="s">
        <v>92</v>
      </c>
      <c r="D4" s="5" t="s">
        <v>93</v>
      </c>
      <c r="E4" s="5" t="s">
        <v>94</v>
      </c>
      <c r="F4" s="5" t="s">
        <v>95</v>
      </c>
      <c r="G4" s="5" t="s">
        <v>96</v>
      </c>
      <c r="H4" s="5" t="s">
        <v>97</v>
      </c>
      <c r="I4" s="5" t="s">
        <v>55</v>
      </c>
      <c r="J4" s="5" t="s">
        <v>56</v>
      </c>
      <c r="K4" s="5" t="s">
        <v>98</v>
      </c>
      <c r="L4" s="5" t="s">
        <v>99</v>
      </c>
      <c r="M4" s="6" t="s">
        <v>100</v>
      </c>
      <c r="N4" s="6" t="s">
        <v>101</v>
      </c>
      <c r="O4" s="6" t="s">
        <v>102</v>
      </c>
      <c r="P4" s="5" t="s">
        <v>103</v>
      </c>
      <c r="Q4" s="7" t="s">
        <v>104</v>
      </c>
      <c r="R4" s="5" t="s">
        <v>105</v>
      </c>
      <c r="S4" s="5" t="s">
        <v>106</v>
      </c>
      <c r="T4" s="5" t="s">
        <v>107</v>
      </c>
      <c r="U4" s="5" t="s">
        <v>67</v>
      </c>
      <c r="V4" s="5" t="s">
        <v>108</v>
      </c>
      <c r="W4" s="5" t="s">
        <v>109</v>
      </c>
      <c r="X4" s="5" t="s">
        <v>110</v>
      </c>
      <c r="Y4" s="5"/>
      <c r="Z4" s="5"/>
      <c r="AA4" s="5" t="s">
        <v>111</v>
      </c>
      <c r="AB4" s="6" t="s">
        <v>112</v>
      </c>
      <c r="AC4" s="5" t="s">
        <v>73</v>
      </c>
    </row>
    <row r="5" spans="1:29" ht="42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6"/>
      <c r="O5" s="6"/>
      <c r="P5" s="5"/>
      <c r="Q5" s="7"/>
      <c r="R5" s="5"/>
      <c r="S5" s="5"/>
      <c r="T5" s="5"/>
      <c r="U5" s="5"/>
      <c r="V5" s="5"/>
      <c r="W5" s="5"/>
      <c r="X5" s="5"/>
      <c r="Y5" s="5"/>
      <c r="Z5" s="5"/>
      <c r="AA5" s="5"/>
      <c r="AB5" s="6"/>
      <c r="AC5" s="5"/>
    </row>
    <row r="6" spans="1:29" ht="42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N6" s="6"/>
      <c r="O6" s="6"/>
      <c r="P6" s="5"/>
      <c r="Q6" s="7"/>
      <c r="R6" s="5"/>
      <c r="S6" s="5"/>
      <c r="T6" s="5"/>
      <c r="U6" s="5"/>
      <c r="V6" s="5"/>
      <c r="W6" s="5"/>
      <c r="X6" s="5"/>
      <c r="Y6" s="5"/>
      <c r="Z6" s="5"/>
      <c r="AA6" s="5"/>
      <c r="AB6" s="6"/>
      <c r="AC6" s="5"/>
    </row>
    <row r="7" spans="1:29" ht="42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  <c r="N7" s="6"/>
      <c r="O7" s="6"/>
      <c r="P7" s="5"/>
      <c r="Q7" s="7"/>
      <c r="R7" s="5"/>
      <c r="S7" s="5"/>
      <c r="T7" s="5"/>
      <c r="U7" s="5"/>
      <c r="V7" s="5"/>
      <c r="W7" s="5"/>
      <c r="X7" s="5"/>
      <c r="Y7" s="5"/>
      <c r="Z7" s="5"/>
      <c r="AA7" s="5"/>
      <c r="AB7" s="6"/>
      <c r="AC7" s="5"/>
    </row>
    <row r="8" spans="1:29" ht="42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  <c r="N8" s="6"/>
      <c r="O8" s="6"/>
      <c r="P8" s="5"/>
      <c r="Q8" s="7"/>
      <c r="R8" s="5"/>
      <c r="S8" s="5"/>
      <c r="T8" s="5"/>
      <c r="U8" s="5"/>
      <c r="V8" s="5"/>
      <c r="W8" s="5"/>
      <c r="X8" s="5"/>
      <c r="Y8" s="5"/>
      <c r="Z8" s="5"/>
      <c r="AA8" s="5"/>
      <c r="AB8" s="6"/>
      <c r="AC8" s="5"/>
    </row>
    <row r="9" spans="1:29" ht="42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  <c r="N9" s="6"/>
      <c r="O9" s="6"/>
      <c r="P9" s="5"/>
      <c r="Q9" s="7"/>
      <c r="R9" s="5"/>
      <c r="S9" s="5"/>
      <c r="T9" s="5"/>
      <c r="U9" s="5"/>
      <c r="V9" s="5"/>
      <c r="W9" s="5"/>
      <c r="X9" s="5"/>
      <c r="Y9" s="5"/>
      <c r="Z9" s="5"/>
      <c r="AA9" s="5"/>
      <c r="AB9" s="6"/>
      <c r="AC9" s="5"/>
    </row>
    <row r="10" spans="1:29" ht="42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6"/>
      <c r="O10" s="6"/>
      <c r="P10" s="5"/>
      <c r="Q10" s="7"/>
      <c r="R10" s="5"/>
      <c r="S10" s="5"/>
      <c r="T10" s="5"/>
      <c r="U10" s="5"/>
      <c r="V10" s="5"/>
      <c r="W10" s="5"/>
      <c r="X10" s="5"/>
      <c r="Y10" s="5"/>
      <c r="Z10" s="5"/>
      <c r="AA10" s="5"/>
      <c r="AB10" s="6"/>
      <c r="AC10" s="5"/>
    </row>
    <row r="11" spans="1:29" ht="42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  <c r="N11" s="6"/>
      <c r="O11" s="6"/>
      <c r="P11" s="5"/>
      <c r="Q11" s="7"/>
      <c r="R11" s="5"/>
      <c r="S11" s="5"/>
      <c r="T11" s="5"/>
      <c r="U11" s="5"/>
      <c r="V11" s="5"/>
      <c r="W11" s="5"/>
      <c r="X11" s="5"/>
      <c r="Y11" s="5"/>
      <c r="Z11" s="5"/>
      <c r="AA11" s="5"/>
      <c r="AB11" s="6"/>
      <c r="AC11" s="5"/>
    </row>
    <row r="12" spans="1:29" ht="42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6"/>
      <c r="N12" s="6"/>
      <c r="O12" s="6"/>
      <c r="P12" s="5"/>
      <c r="Q12" s="7"/>
      <c r="R12" s="5"/>
      <c r="S12" s="5"/>
      <c r="T12" s="5"/>
      <c r="U12" s="5"/>
      <c r="V12" s="5"/>
      <c r="W12" s="5"/>
      <c r="X12" s="5"/>
      <c r="Y12" s="5"/>
      <c r="Z12" s="5"/>
      <c r="AA12" s="5"/>
      <c r="AB12" s="6"/>
      <c r="AC12" s="5"/>
    </row>
    <row r="13" spans="1:29" ht="42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  <c r="N13" s="6"/>
      <c r="O13" s="6"/>
      <c r="P13" s="5"/>
      <c r="Q13" s="7"/>
      <c r="R13" s="5"/>
      <c r="S13" s="5"/>
      <c r="T13" s="5"/>
      <c r="U13" s="5"/>
      <c r="V13" s="5"/>
      <c r="W13" s="5"/>
      <c r="X13" s="5"/>
      <c r="Y13" s="5"/>
      <c r="Z13" s="5"/>
      <c r="AA13" s="5"/>
      <c r="AB13" s="6"/>
      <c r="AC13" s="5"/>
    </row>
    <row r="14" spans="1:29" ht="42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6"/>
      <c r="N14" s="6"/>
      <c r="O14" s="6"/>
      <c r="P14" s="5"/>
      <c r="Q14" s="7"/>
      <c r="R14" s="5"/>
      <c r="S14" s="5"/>
      <c r="T14" s="5"/>
      <c r="U14" s="5"/>
      <c r="V14" s="5"/>
      <c r="W14" s="5"/>
      <c r="X14" s="5"/>
      <c r="Y14" s="5"/>
      <c r="Z14" s="5"/>
      <c r="AA14" s="5"/>
      <c r="AB14" s="6"/>
      <c r="AC14" s="5"/>
    </row>
    <row r="15" spans="1:29" ht="42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  <c r="N15" s="6"/>
      <c r="O15" s="6"/>
      <c r="P15" s="5"/>
      <c r="Q15" s="7"/>
      <c r="R15" s="5"/>
      <c r="S15" s="5"/>
      <c r="T15" s="5"/>
      <c r="U15" s="5"/>
      <c r="V15" s="5"/>
      <c r="W15" s="5"/>
      <c r="X15" s="5"/>
      <c r="Y15" s="5"/>
      <c r="Z15" s="5"/>
      <c r="AA15" s="5"/>
      <c r="AB15" s="6"/>
      <c r="AC15" s="5"/>
    </row>
    <row r="16" spans="1:29" ht="42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  <c r="N16" s="6"/>
      <c r="O16" s="6"/>
      <c r="P16" s="5"/>
      <c r="Q16" s="7"/>
      <c r="R16" s="5"/>
      <c r="S16" s="5"/>
      <c r="T16" s="5"/>
      <c r="U16" s="5"/>
      <c r="V16" s="5"/>
      <c r="W16" s="5"/>
      <c r="X16" s="5"/>
      <c r="Y16" s="5"/>
      <c r="Z16" s="5"/>
      <c r="AA16" s="5"/>
      <c r="AB16" s="6"/>
      <c r="AC16" s="5"/>
    </row>
    <row r="17" spans="1:29" ht="42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  <c r="N17" s="6"/>
      <c r="O17" s="6"/>
      <c r="P17" s="5"/>
      <c r="Q17" s="7"/>
      <c r="R17" s="5"/>
      <c r="S17" s="5"/>
      <c r="T17" s="5"/>
      <c r="U17" s="5"/>
      <c r="V17" s="5"/>
      <c r="W17" s="5"/>
      <c r="X17" s="5"/>
      <c r="Y17" s="5"/>
      <c r="Z17" s="5"/>
      <c r="AA17" s="5"/>
      <c r="AB17" s="6"/>
      <c r="AC17" s="5"/>
    </row>
    <row r="18" spans="1:29" ht="42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  <c r="N18" s="6"/>
      <c r="O18" s="6"/>
      <c r="P18" s="5"/>
      <c r="Q18" s="7"/>
      <c r="R18" s="5"/>
      <c r="S18" s="5"/>
      <c r="T18" s="5"/>
      <c r="U18" s="5"/>
      <c r="V18" s="5"/>
      <c r="W18" s="5"/>
      <c r="X18" s="5"/>
      <c r="Y18" s="5"/>
      <c r="Z18" s="5"/>
      <c r="AA18" s="5"/>
      <c r="AB18" s="6"/>
      <c r="AC18" s="5"/>
    </row>
    <row r="19" spans="1:29" ht="42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6"/>
      <c r="N19" s="6"/>
      <c r="O19" s="6"/>
      <c r="P19" s="5"/>
      <c r="Q19" s="7"/>
      <c r="R19" s="5"/>
      <c r="S19" s="5"/>
      <c r="T19" s="5"/>
      <c r="U19" s="5"/>
      <c r="V19" s="5"/>
      <c r="W19" s="5"/>
      <c r="X19" s="5"/>
      <c r="Y19" s="5"/>
      <c r="Z19" s="5"/>
      <c r="AA19" s="5"/>
      <c r="AB19" s="6"/>
      <c r="AC19" s="5"/>
    </row>
    <row r="20" spans="1:29" ht="42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  <c r="N20" s="6"/>
      <c r="O20" s="6"/>
      <c r="P20" s="5"/>
      <c r="Q20" s="7"/>
      <c r="R20" s="5"/>
      <c r="S20" s="5"/>
      <c r="T20" s="5"/>
      <c r="U20" s="5"/>
      <c r="V20" s="5"/>
      <c r="W20" s="5"/>
      <c r="X20" s="5"/>
      <c r="Y20" s="5"/>
      <c r="Z20" s="5"/>
      <c r="AA20" s="5"/>
      <c r="AB20" s="6"/>
      <c r="AC20" s="5"/>
    </row>
    <row r="21" spans="1:29" ht="42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6"/>
      <c r="N21" s="6"/>
      <c r="O21" s="6"/>
      <c r="P21" s="5"/>
      <c r="Q21" s="7"/>
      <c r="R21" s="5"/>
      <c r="S21" s="5"/>
      <c r="T21" s="5"/>
      <c r="U21" s="5"/>
      <c r="V21" s="5"/>
      <c r="W21" s="5"/>
      <c r="X21" s="5"/>
      <c r="Y21" s="5"/>
      <c r="Z21" s="5"/>
      <c r="AA21" s="5"/>
      <c r="AB21" s="6"/>
      <c r="AC21" s="5"/>
    </row>
    <row r="22" spans="1:29" ht="42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6"/>
      <c r="N22" s="6"/>
      <c r="O22" s="6"/>
      <c r="P22" s="5"/>
      <c r="Q22" s="7"/>
      <c r="R22" s="5"/>
      <c r="S22" s="5"/>
      <c r="T22" s="5"/>
      <c r="U22" s="5"/>
      <c r="V22" s="5"/>
      <c r="W22" s="5"/>
      <c r="X22" s="5"/>
      <c r="Y22" s="5"/>
      <c r="Z22" s="5"/>
      <c r="AA22" s="5"/>
      <c r="AB22" s="6"/>
      <c r="AC22" s="5"/>
    </row>
    <row r="23" spans="1:29" ht="42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  <c r="N23" s="6"/>
      <c r="O23" s="6"/>
      <c r="P23" s="5"/>
      <c r="Q23" s="7"/>
      <c r="R23" s="5"/>
      <c r="S23" s="5"/>
      <c r="T23" s="5"/>
      <c r="U23" s="5"/>
      <c r="V23" s="5"/>
      <c r="W23" s="5"/>
      <c r="X23" s="5"/>
      <c r="Y23" s="5"/>
      <c r="Z23" s="5"/>
      <c r="AA23" s="5"/>
      <c r="AB23" s="6"/>
      <c r="AC23" s="5"/>
    </row>
    <row r="24" spans="1:29" ht="42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6"/>
      <c r="N24" s="6"/>
      <c r="O24" s="6"/>
      <c r="P24" s="5"/>
      <c r="Q24" s="7"/>
      <c r="R24" s="5"/>
      <c r="S24" s="5"/>
      <c r="T24" s="5"/>
      <c r="U24" s="5"/>
      <c r="V24" s="5"/>
      <c r="W24" s="5"/>
      <c r="X24" s="5"/>
      <c r="Y24" s="5"/>
      <c r="Z24" s="5"/>
      <c r="AA24" s="5"/>
      <c r="AB24" s="6"/>
      <c r="AC24" s="5"/>
    </row>
    <row r="25" spans="1:29" ht="42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6"/>
      <c r="N25" s="6"/>
      <c r="O25" s="6"/>
      <c r="P25" s="5"/>
      <c r="Q25" s="7"/>
      <c r="R25" s="5"/>
      <c r="S25" s="5"/>
      <c r="T25" s="5"/>
      <c r="U25" s="5"/>
      <c r="V25" s="5"/>
      <c r="W25" s="5"/>
      <c r="X25" s="5"/>
      <c r="Y25" s="5"/>
      <c r="Z25" s="5"/>
      <c r="AA25" s="5"/>
      <c r="AB25" s="6"/>
      <c r="AC25" s="5"/>
    </row>
    <row r="26" spans="1:29" ht="42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6"/>
      <c r="N26" s="6"/>
      <c r="O26" s="6"/>
      <c r="P26" s="5"/>
      <c r="Q26" s="7"/>
      <c r="R26" s="5"/>
      <c r="S26" s="5"/>
      <c r="T26" s="5"/>
      <c r="U26" s="5"/>
      <c r="V26" s="5"/>
      <c r="W26" s="5"/>
      <c r="X26" s="5"/>
      <c r="Y26" s="5"/>
      <c r="Z26" s="5"/>
      <c r="AA26" s="5"/>
      <c r="AB26" s="6"/>
      <c r="AC26" s="5"/>
    </row>
    <row r="27" spans="1:29" ht="42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6"/>
      <c r="N27" s="6"/>
      <c r="O27" s="6"/>
      <c r="P27" s="5"/>
      <c r="Q27" s="7"/>
      <c r="R27" s="5"/>
      <c r="S27" s="5"/>
      <c r="T27" s="5"/>
      <c r="U27" s="5"/>
      <c r="V27" s="5"/>
      <c r="W27" s="5"/>
      <c r="X27" s="5"/>
      <c r="Y27" s="5"/>
      <c r="Z27" s="5"/>
      <c r="AA27" s="5"/>
      <c r="AB27" s="6"/>
      <c r="AC27" s="5"/>
    </row>
    <row r="28" spans="1:29" ht="42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6"/>
      <c r="N28" s="6"/>
      <c r="O28" s="6"/>
      <c r="P28" s="5"/>
      <c r="Q28" s="7"/>
      <c r="R28" s="5"/>
      <c r="S28" s="5"/>
      <c r="T28" s="5"/>
      <c r="U28" s="5"/>
      <c r="V28" s="5"/>
      <c r="W28" s="5"/>
      <c r="X28" s="5"/>
      <c r="Y28" s="5"/>
      <c r="Z28" s="5"/>
      <c r="AA28" s="5"/>
      <c r="AB28" s="6"/>
      <c r="AC28" s="5"/>
    </row>
    <row r="29" spans="1:29" ht="42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6"/>
      <c r="N29" s="6"/>
      <c r="O29" s="6"/>
      <c r="P29" s="5"/>
      <c r="Q29" s="7"/>
      <c r="R29" s="5"/>
      <c r="S29" s="5"/>
      <c r="T29" s="5"/>
      <c r="U29" s="5"/>
      <c r="V29" s="5"/>
      <c r="W29" s="5"/>
      <c r="X29" s="5"/>
      <c r="Y29" s="5"/>
      <c r="Z29" s="5"/>
      <c r="AA29" s="5"/>
      <c r="AB29" s="6"/>
      <c r="AC29" s="5"/>
    </row>
    <row r="30" spans="1:29" ht="42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6"/>
      <c r="N30" s="6"/>
      <c r="O30" s="6"/>
      <c r="P30" s="5"/>
      <c r="Q30" s="7"/>
      <c r="R30" s="5"/>
      <c r="S30" s="5"/>
      <c r="T30" s="5"/>
      <c r="U30" s="5"/>
      <c r="V30" s="5"/>
      <c r="W30" s="5"/>
      <c r="X30" s="5"/>
      <c r="Y30" s="5"/>
      <c r="Z30" s="5"/>
      <c r="AA30" s="5"/>
      <c r="AB30" s="6"/>
      <c r="AC30" s="5"/>
    </row>
    <row r="31" spans="1:29" ht="42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6"/>
      <c r="N31" s="6"/>
      <c r="O31" s="6"/>
      <c r="P31" s="5"/>
      <c r="Q31" s="7"/>
      <c r="R31" s="5"/>
      <c r="S31" s="5"/>
      <c r="T31" s="5"/>
      <c r="U31" s="5"/>
      <c r="V31" s="5"/>
      <c r="W31" s="5"/>
      <c r="X31" s="5"/>
      <c r="Y31" s="5"/>
      <c r="Z31" s="5"/>
      <c r="AA31" s="5"/>
      <c r="AB31" s="6"/>
      <c r="AC31" s="5"/>
    </row>
    <row r="32" spans="1:29" ht="42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6"/>
      <c r="N32" s="6"/>
      <c r="O32" s="6"/>
      <c r="P32" s="5"/>
      <c r="Q32" s="7"/>
      <c r="R32" s="5"/>
      <c r="S32" s="5"/>
      <c r="T32" s="5"/>
      <c r="U32" s="5"/>
      <c r="V32" s="5"/>
      <c r="W32" s="5"/>
      <c r="X32" s="5"/>
      <c r="Y32" s="5"/>
      <c r="Z32" s="5"/>
      <c r="AA32" s="5"/>
      <c r="AB32" s="6"/>
      <c r="AC32" s="5"/>
    </row>
    <row r="33" spans="1:29" ht="42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6"/>
      <c r="N33" s="6"/>
      <c r="O33" s="6"/>
      <c r="P33" s="5"/>
      <c r="Q33" s="7"/>
      <c r="R33" s="5"/>
      <c r="S33" s="5"/>
      <c r="T33" s="5"/>
      <c r="U33" s="5"/>
      <c r="V33" s="5"/>
      <c r="W33" s="5"/>
      <c r="X33" s="5"/>
      <c r="Y33" s="5"/>
      <c r="Z33" s="5"/>
      <c r="AA33" s="5"/>
      <c r="AB33" s="6"/>
      <c r="AC33" s="5"/>
    </row>
    <row r="34" spans="1:29" ht="42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6"/>
      <c r="N34" s="6"/>
      <c r="O34" s="6"/>
      <c r="P34" s="5"/>
      <c r="Q34" s="7"/>
      <c r="R34" s="5"/>
      <c r="S34" s="5"/>
      <c r="T34" s="5"/>
      <c r="U34" s="5"/>
      <c r="V34" s="5"/>
      <c r="W34" s="5"/>
      <c r="X34" s="5"/>
      <c r="Y34" s="5"/>
      <c r="Z34" s="5"/>
      <c r="AA34" s="5"/>
      <c r="AB34" s="6"/>
      <c r="AC34" s="5"/>
    </row>
    <row r="35" spans="1:29" ht="42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6"/>
      <c r="N35" s="6"/>
      <c r="O35" s="6"/>
      <c r="P35" s="5"/>
      <c r="Q35" s="7"/>
      <c r="R35" s="5"/>
      <c r="S35" s="5"/>
      <c r="T35" s="5"/>
      <c r="U35" s="5"/>
      <c r="V35" s="5"/>
      <c r="W35" s="5"/>
      <c r="X35" s="5"/>
      <c r="Y35" s="5"/>
      <c r="Z35" s="5"/>
      <c r="AA35" s="5"/>
      <c r="AB35" s="6"/>
      <c r="AC35" s="5"/>
    </row>
    <row r="36" spans="1:29" ht="42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6"/>
      <c r="N36" s="6"/>
      <c r="O36" s="6"/>
      <c r="P36" s="5"/>
      <c r="Q36" s="7"/>
      <c r="R36" s="5"/>
      <c r="S36" s="5"/>
      <c r="T36" s="5"/>
      <c r="U36" s="5"/>
      <c r="V36" s="5"/>
      <c r="W36" s="5"/>
      <c r="X36" s="5"/>
      <c r="Y36" s="5"/>
      <c r="Z36" s="5"/>
      <c r="AA36" s="5"/>
      <c r="AB36" s="6"/>
      <c r="AC36" s="5"/>
    </row>
    <row r="37" spans="1:29" ht="42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6"/>
      <c r="N37" s="6"/>
      <c r="O37" s="6"/>
      <c r="P37" s="5"/>
      <c r="Q37" s="7"/>
      <c r="R37" s="5"/>
      <c r="S37" s="5"/>
      <c r="T37" s="5"/>
      <c r="U37" s="5"/>
      <c r="V37" s="5"/>
      <c r="W37" s="5"/>
      <c r="X37" s="5"/>
      <c r="Y37" s="5"/>
      <c r="Z37" s="5"/>
      <c r="AA37" s="5"/>
      <c r="AB37" s="6"/>
      <c r="AC37" s="5"/>
    </row>
    <row r="38" spans="1:29" ht="42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6"/>
      <c r="N38" s="6"/>
      <c r="O38" s="6"/>
      <c r="P38" s="5"/>
      <c r="Q38" s="7"/>
      <c r="R38" s="5"/>
      <c r="S38" s="5"/>
      <c r="T38" s="5"/>
      <c r="U38" s="5"/>
      <c r="V38" s="5"/>
      <c r="W38" s="5"/>
      <c r="X38" s="5"/>
      <c r="Y38" s="5"/>
      <c r="Z38" s="5"/>
      <c r="AA38" s="5"/>
      <c r="AB38" s="6"/>
      <c r="AC38" s="5"/>
    </row>
    <row r="39" spans="1:29" ht="42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6"/>
      <c r="N39" s="6"/>
      <c r="O39" s="6"/>
      <c r="P39" s="5"/>
      <c r="Q39" s="7"/>
      <c r="R39" s="5"/>
      <c r="S39" s="5"/>
      <c r="T39" s="5"/>
      <c r="U39" s="5"/>
      <c r="V39" s="5"/>
      <c r="W39" s="5"/>
      <c r="X39" s="5"/>
      <c r="Y39" s="5"/>
      <c r="Z39" s="5"/>
      <c r="AA39" s="5"/>
      <c r="AB39" s="6"/>
      <c r="AC39" s="5"/>
    </row>
    <row r="40" spans="1:29" ht="42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6"/>
      <c r="N40" s="6"/>
      <c r="O40" s="6"/>
      <c r="P40" s="5"/>
      <c r="Q40" s="7"/>
      <c r="R40" s="5"/>
      <c r="S40" s="5"/>
      <c r="T40" s="5"/>
      <c r="U40" s="5"/>
      <c r="V40" s="5"/>
      <c r="W40" s="5"/>
      <c r="X40" s="5"/>
      <c r="Y40" s="5"/>
      <c r="Z40" s="5"/>
      <c r="AA40" s="5"/>
      <c r="AB40" s="6"/>
      <c r="AC40" s="5"/>
    </row>
    <row r="41" spans="1:29" ht="42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6"/>
      <c r="N41" s="6"/>
      <c r="O41" s="6"/>
      <c r="P41" s="5"/>
      <c r="Q41" s="7"/>
      <c r="R41" s="5"/>
      <c r="S41" s="5"/>
      <c r="T41" s="5"/>
      <c r="U41" s="5"/>
      <c r="V41" s="5"/>
      <c r="W41" s="5"/>
      <c r="X41" s="5"/>
      <c r="Y41" s="5"/>
      <c r="Z41" s="5"/>
      <c r="AA41" s="5"/>
      <c r="AB41" s="6"/>
      <c r="AC41" s="5"/>
    </row>
    <row r="42" spans="1:29" ht="42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6"/>
      <c r="N42" s="6"/>
      <c r="O42" s="6"/>
      <c r="P42" s="5"/>
      <c r="Q42" s="7"/>
      <c r="R42" s="5"/>
      <c r="S42" s="5"/>
      <c r="T42" s="5"/>
      <c r="U42" s="5"/>
      <c r="V42" s="5"/>
      <c r="W42" s="5"/>
      <c r="X42" s="5"/>
      <c r="Y42" s="5"/>
      <c r="Z42" s="5"/>
      <c r="AA42" s="5"/>
      <c r="AB42" s="6"/>
      <c r="AC42" s="5"/>
    </row>
    <row r="43" spans="1:29" ht="42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6"/>
      <c r="N43" s="6"/>
      <c r="O43" s="6"/>
      <c r="P43" s="5"/>
      <c r="Q43" s="7"/>
      <c r="R43" s="5"/>
      <c r="S43" s="5"/>
      <c r="T43" s="5"/>
      <c r="U43" s="5"/>
      <c r="V43" s="5"/>
      <c r="W43" s="5"/>
      <c r="X43" s="5"/>
      <c r="Y43" s="5"/>
      <c r="Z43" s="5"/>
      <c r="AA43" s="5"/>
      <c r="AB43" s="6"/>
      <c r="AC43" s="5"/>
    </row>
    <row r="44" spans="1:29" ht="42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6"/>
      <c r="N44" s="6"/>
      <c r="O44" s="6"/>
      <c r="P44" s="5"/>
      <c r="Q44" s="7"/>
      <c r="R44" s="5"/>
      <c r="S44" s="5"/>
      <c r="T44" s="5"/>
      <c r="U44" s="5"/>
      <c r="V44" s="5"/>
      <c r="W44" s="5"/>
      <c r="X44" s="5"/>
      <c r="Y44" s="5"/>
      <c r="Z44" s="5"/>
      <c r="AA44" s="5"/>
      <c r="AB44" s="6"/>
      <c r="AC44" s="5"/>
    </row>
    <row r="45" spans="1:29" ht="42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6"/>
      <c r="N45" s="6"/>
      <c r="O45" s="6"/>
      <c r="P45" s="5"/>
      <c r="Q45" s="7"/>
      <c r="R45" s="5"/>
      <c r="S45" s="5"/>
      <c r="T45" s="5"/>
      <c r="U45" s="5"/>
      <c r="V45" s="5"/>
      <c r="W45" s="5"/>
      <c r="X45" s="5"/>
      <c r="Y45" s="5"/>
      <c r="Z45" s="5"/>
      <c r="AA45" s="5"/>
      <c r="AB45" s="6"/>
      <c r="AC45" s="5"/>
    </row>
    <row r="46" spans="1:29" ht="42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6"/>
      <c r="N46" s="6"/>
      <c r="O46" s="6"/>
      <c r="P46" s="5"/>
      <c r="Q46" s="7"/>
      <c r="R46" s="5"/>
      <c r="S46" s="5"/>
      <c r="T46" s="5"/>
      <c r="U46" s="5"/>
      <c r="V46" s="5"/>
      <c r="W46" s="5"/>
      <c r="X46" s="5"/>
      <c r="Y46" s="5"/>
      <c r="Z46" s="5"/>
      <c r="AA46" s="5"/>
      <c r="AB46" s="6"/>
      <c r="AC46" s="5"/>
    </row>
    <row r="47" spans="1:29" ht="42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6"/>
      <c r="N47" s="6"/>
      <c r="O47" s="6"/>
      <c r="P47" s="5"/>
      <c r="Q47" s="7"/>
      <c r="R47" s="5"/>
      <c r="S47" s="5"/>
      <c r="T47" s="5"/>
      <c r="U47" s="5"/>
      <c r="V47" s="5"/>
      <c r="W47" s="5"/>
      <c r="X47" s="5"/>
      <c r="Y47" s="5"/>
      <c r="Z47" s="5"/>
      <c r="AA47" s="5"/>
      <c r="AB47" s="6"/>
      <c r="AC47" s="5"/>
    </row>
    <row r="48" spans="1:29" ht="42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6"/>
      <c r="N48" s="6"/>
      <c r="O48" s="6"/>
      <c r="P48" s="5"/>
      <c r="Q48" s="7"/>
      <c r="R48" s="5"/>
      <c r="S48" s="5"/>
      <c r="T48" s="5"/>
      <c r="U48" s="5"/>
      <c r="V48" s="5"/>
      <c r="W48" s="5"/>
      <c r="X48" s="5"/>
      <c r="Y48" s="5"/>
      <c r="Z48" s="5"/>
      <c r="AA48" s="5"/>
      <c r="AB48" s="6"/>
      <c r="AC48" s="5"/>
    </row>
    <row r="49" spans="1:29" ht="42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6"/>
      <c r="N49" s="6"/>
      <c r="O49" s="6"/>
      <c r="P49" s="5"/>
      <c r="Q49" s="7"/>
      <c r="R49" s="5"/>
      <c r="S49" s="5"/>
      <c r="T49" s="5"/>
      <c r="U49" s="5"/>
      <c r="V49" s="5"/>
      <c r="W49" s="5"/>
      <c r="X49" s="5"/>
      <c r="Y49" s="5"/>
      <c r="Z49" s="5"/>
      <c r="AA49" s="5"/>
      <c r="AB49" s="6"/>
      <c r="AC49" s="5"/>
    </row>
    <row r="50" spans="1:29" ht="42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6"/>
      <c r="N50" s="6"/>
      <c r="O50" s="6"/>
      <c r="P50" s="5"/>
      <c r="Q50" s="7"/>
      <c r="R50" s="5"/>
      <c r="S50" s="5"/>
      <c r="T50" s="5"/>
      <c r="U50" s="5"/>
      <c r="V50" s="5"/>
      <c r="W50" s="5"/>
      <c r="X50" s="5"/>
      <c r="Y50" s="5"/>
      <c r="Z50" s="5"/>
      <c r="AA50" s="5"/>
      <c r="AB50" s="6"/>
      <c r="AC50" s="5"/>
    </row>
    <row r="51" spans="1:29" ht="42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6"/>
      <c r="N51" s="6"/>
      <c r="O51" s="6"/>
      <c r="P51" s="5"/>
      <c r="Q51" s="7"/>
      <c r="R51" s="5"/>
      <c r="S51" s="5"/>
      <c r="T51" s="5"/>
      <c r="U51" s="5"/>
      <c r="V51" s="5"/>
      <c r="W51" s="5"/>
      <c r="X51" s="5"/>
      <c r="Y51" s="5"/>
      <c r="Z51" s="5"/>
      <c r="AA51" s="5"/>
      <c r="AB51" s="6"/>
      <c r="AC51" s="5"/>
    </row>
    <row r="52" spans="1:29" ht="42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6"/>
      <c r="N52" s="6"/>
      <c r="O52" s="6"/>
      <c r="P52" s="5"/>
      <c r="Q52" s="7"/>
      <c r="R52" s="5"/>
      <c r="S52" s="5"/>
      <c r="T52" s="5"/>
      <c r="U52" s="5"/>
      <c r="V52" s="5"/>
      <c r="W52" s="5"/>
      <c r="X52" s="5"/>
      <c r="Y52" s="5"/>
      <c r="Z52" s="5"/>
      <c r="AA52" s="5"/>
      <c r="AB52" s="6"/>
      <c r="AC52" s="5"/>
    </row>
    <row r="53" spans="1:29" ht="42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6"/>
      <c r="N53" s="6"/>
      <c r="O53" s="6"/>
      <c r="P53" s="5"/>
      <c r="Q53" s="7"/>
      <c r="R53" s="5"/>
      <c r="S53" s="5"/>
      <c r="T53" s="5"/>
      <c r="U53" s="5"/>
      <c r="V53" s="5"/>
      <c r="W53" s="5"/>
      <c r="X53" s="5"/>
      <c r="Y53" s="5"/>
      <c r="Z53" s="5"/>
      <c r="AA53" s="5"/>
      <c r="AB53" s="6"/>
      <c r="AC53" s="5"/>
    </row>
    <row r="54" spans="1:29" ht="42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6"/>
      <c r="N54" s="6"/>
      <c r="O54" s="6"/>
      <c r="P54" s="5"/>
      <c r="Q54" s="7"/>
      <c r="R54" s="5"/>
      <c r="S54" s="5"/>
      <c r="T54" s="5"/>
      <c r="U54" s="5"/>
      <c r="V54" s="5"/>
      <c r="W54" s="5"/>
      <c r="X54" s="5"/>
      <c r="Y54" s="5"/>
      <c r="Z54" s="5"/>
      <c r="AA54" s="5"/>
      <c r="AB54" s="6"/>
      <c r="AC54" s="5"/>
    </row>
    <row r="55" spans="1:29" ht="42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6"/>
      <c r="N55" s="6"/>
      <c r="O55" s="6"/>
      <c r="P55" s="5"/>
      <c r="Q55" s="7"/>
      <c r="R55" s="5"/>
      <c r="S55" s="5"/>
      <c r="T55" s="5"/>
      <c r="U55" s="5"/>
      <c r="V55" s="5"/>
      <c r="W55" s="5"/>
      <c r="X55" s="5"/>
      <c r="Y55" s="5"/>
      <c r="Z55" s="5"/>
      <c r="AA55" s="5"/>
      <c r="AB55" s="6"/>
      <c r="AC55" s="5"/>
    </row>
    <row r="56" spans="1:29" ht="42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6"/>
      <c r="N56" s="6"/>
      <c r="O56" s="6"/>
      <c r="P56" s="5"/>
      <c r="Q56" s="7"/>
      <c r="R56" s="5"/>
      <c r="S56" s="5"/>
      <c r="T56" s="5"/>
      <c r="U56" s="5"/>
      <c r="V56" s="5"/>
      <c r="W56" s="5"/>
      <c r="X56" s="5"/>
      <c r="Y56" s="5"/>
      <c r="Z56" s="5"/>
      <c r="AA56" s="5"/>
      <c r="AB56" s="6"/>
      <c r="AC56" s="5"/>
    </row>
    <row r="57" spans="1:29" ht="42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6"/>
      <c r="N57" s="6"/>
      <c r="O57" s="6"/>
      <c r="P57" s="5"/>
      <c r="Q57" s="7"/>
      <c r="R57" s="5"/>
      <c r="S57" s="5"/>
      <c r="T57" s="5"/>
      <c r="U57" s="5"/>
      <c r="V57" s="5"/>
      <c r="W57" s="5"/>
      <c r="X57" s="5"/>
      <c r="Y57" s="5"/>
      <c r="Z57" s="5"/>
      <c r="AA57" s="5"/>
      <c r="AB57" s="6"/>
      <c r="AC57" s="5"/>
    </row>
    <row r="58" spans="1:29" ht="42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6"/>
      <c r="N58" s="6"/>
      <c r="O58" s="6"/>
      <c r="P58" s="5"/>
      <c r="Q58" s="7"/>
      <c r="R58" s="5"/>
      <c r="S58" s="5"/>
      <c r="T58" s="5"/>
      <c r="U58" s="5"/>
      <c r="V58" s="5"/>
      <c r="W58" s="5"/>
      <c r="X58" s="5"/>
      <c r="Y58" s="5"/>
      <c r="Z58" s="5"/>
      <c r="AA58" s="5"/>
      <c r="AB58" s="6"/>
      <c r="AC58" s="5"/>
    </row>
    <row r="59" spans="1:29" ht="42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6"/>
      <c r="N59" s="6"/>
      <c r="O59" s="6"/>
      <c r="P59" s="5"/>
      <c r="Q59" s="7"/>
      <c r="R59" s="5"/>
      <c r="S59" s="5"/>
      <c r="T59" s="5"/>
      <c r="U59" s="5"/>
      <c r="V59" s="5"/>
      <c r="W59" s="5"/>
      <c r="X59" s="5"/>
      <c r="Y59" s="5"/>
      <c r="Z59" s="5"/>
      <c r="AA59" s="5"/>
      <c r="AB59" s="6"/>
      <c r="AC59" s="5"/>
    </row>
    <row r="60" spans="1:29" ht="42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6"/>
      <c r="N60" s="6"/>
      <c r="O60" s="6"/>
      <c r="P60" s="5"/>
      <c r="Q60" s="7"/>
      <c r="R60" s="5"/>
      <c r="S60" s="5"/>
      <c r="T60" s="5"/>
      <c r="U60" s="5"/>
      <c r="V60" s="5"/>
      <c r="W60" s="5"/>
      <c r="X60" s="5"/>
      <c r="Y60" s="5"/>
      <c r="Z60" s="5"/>
      <c r="AA60" s="5"/>
      <c r="AB60" s="6"/>
      <c r="AC60" s="5"/>
    </row>
    <row r="61" spans="1:29" ht="42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6"/>
      <c r="N61" s="6"/>
      <c r="O61" s="6"/>
      <c r="P61" s="5"/>
      <c r="Q61" s="7"/>
      <c r="R61" s="5"/>
      <c r="S61" s="5"/>
      <c r="T61" s="5"/>
      <c r="U61" s="5"/>
      <c r="V61" s="5"/>
      <c r="W61" s="5"/>
      <c r="X61" s="5"/>
      <c r="Y61" s="5"/>
      <c r="Z61" s="5"/>
      <c r="AA61" s="5"/>
      <c r="AB61" s="6"/>
      <c r="AC61" s="5"/>
    </row>
    <row r="62" spans="1:29" ht="42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6"/>
      <c r="N62" s="6"/>
      <c r="O62" s="6"/>
      <c r="P62" s="5"/>
      <c r="Q62" s="7"/>
      <c r="R62" s="5"/>
      <c r="S62" s="5"/>
      <c r="T62" s="5"/>
      <c r="U62" s="5"/>
      <c r="V62" s="5"/>
      <c r="W62" s="5"/>
      <c r="X62" s="5"/>
      <c r="Y62" s="5"/>
      <c r="Z62" s="5"/>
      <c r="AA62" s="5"/>
      <c r="AB62" s="6"/>
      <c r="AC62" s="5"/>
    </row>
    <row r="63" spans="1:29" ht="42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6"/>
      <c r="N63" s="6"/>
      <c r="O63" s="6"/>
      <c r="P63" s="5"/>
      <c r="Q63" s="7"/>
      <c r="R63" s="5"/>
      <c r="S63" s="5"/>
      <c r="T63" s="5"/>
      <c r="U63" s="5"/>
      <c r="V63" s="5"/>
      <c r="W63" s="5"/>
      <c r="X63" s="5"/>
      <c r="Y63" s="5"/>
      <c r="Z63" s="5"/>
      <c r="AA63" s="5"/>
      <c r="AB63" s="6"/>
      <c r="AC63" s="5"/>
    </row>
    <row r="64" spans="1:29" ht="42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6"/>
      <c r="N64" s="6"/>
      <c r="O64" s="6"/>
      <c r="P64" s="5"/>
      <c r="Q64" s="7"/>
      <c r="R64" s="5"/>
      <c r="S64" s="5"/>
      <c r="T64" s="5"/>
      <c r="U64" s="5"/>
      <c r="V64" s="5"/>
      <c r="W64" s="5"/>
      <c r="X64" s="5"/>
      <c r="Y64" s="5"/>
      <c r="Z64" s="5"/>
      <c r="AA64" s="5"/>
      <c r="AB64" s="6"/>
      <c r="AC64" s="5"/>
    </row>
    <row r="65" spans="1:29" ht="42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6"/>
      <c r="N65" s="6"/>
      <c r="O65" s="6"/>
      <c r="P65" s="5"/>
      <c r="Q65" s="7"/>
      <c r="R65" s="5"/>
      <c r="S65" s="5"/>
      <c r="T65" s="5"/>
      <c r="U65" s="5"/>
      <c r="V65" s="5"/>
      <c r="W65" s="5"/>
      <c r="X65" s="5"/>
      <c r="Y65" s="5"/>
      <c r="Z65" s="5"/>
      <c r="AA65" s="5"/>
      <c r="AB65" s="6"/>
      <c r="AC65" s="5"/>
    </row>
    <row r="66" spans="1:29" ht="42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6"/>
      <c r="N66" s="6"/>
      <c r="O66" s="6"/>
      <c r="P66" s="5"/>
      <c r="Q66" s="7"/>
      <c r="R66" s="5"/>
      <c r="S66" s="5"/>
      <c r="T66" s="5"/>
      <c r="U66" s="5"/>
      <c r="V66" s="5"/>
      <c r="W66" s="5"/>
      <c r="X66" s="5"/>
      <c r="Y66" s="5"/>
      <c r="Z66" s="5"/>
      <c r="AA66" s="5"/>
      <c r="AB66" s="6"/>
      <c r="AC66" s="5"/>
    </row>
    <row r="67" spans="1:29" ht="42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6"/>
      <c r="N67" s="6"/>
      <c r="O67" s="6"/>
      <c r="P67" s="5"/>
      <c r="Q67" s="7"/>
      <c r="R67" s="5"/>
      <c r="S67" s="5"/>
      <c r="T67" s="5"/>
      <c r="U67" s="5"/>
      <c r="V67" s="5"/>
      <c r="W67" s="5"/>
      <c r="X67" s="5"/>
      <c r="Y67" s="5"/>
      <c r="Z67" s="5"/>
      <c r="AA67" s="5"/>
      <c r="AB67" s="6"/>
      <c r="AC67" s="5"/>
    </row>
    <row r="68" spans="1:29" ht="42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6"/>
      <c r="N68" s="6"/>
      <c r="O68" s="6"/>
      <c r="P68" s="5"/>
      <c r="Q68" s="7"/>
      <c r="R68" s="5"/>
      <c r="S68" s="5"/>
      <c r="T68" s="5"/>
      <c r="U68" s="5"/>
      <c r="V68" s="5"/>
      <c r="W68" s="5"/>
      <c r="X68" s="5"/>
      <c r="Y68" s="5"/>
      <c r="Z68" s="5"/>
      <c r="AA68" s="5"/>
      <c r="AB68" s="6"/>
      <c r="AC68" s="5"/>
    </row>
    <row r="69" spans="1:29" ht="42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6"/>
      <c r="N69" s="6"/>
      <c r="O69" s="6"/>
      <c r="P69" s="5"/>
      <c r="Q69" s="7"/>
      <c r="R69" s="5"/>
      <c r="S69" s="5"/>
      <c r="T69" s="5"/>
      <c r="U69" s="5"/>
      <c r="V69" s="5"/>
      <c r="W69" s="5"/>
      <c r="X69" s="5"/>
      <c r="Y69" s="5"/>
      <c r="Z69" s="5"/>
      <c r="AA69" s="5"/>
      <c r="AB69" s="6"/>
      <c r="AC69" s="5"/>
    </row>
    <row r="70" spans="1:29" ht="42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6"/>
      <c r="N70" s="6"/>
      <c r="O70" s="6"/>
      <c r="P70" s="5"/>
      <c r="Q70" s="7"/>
      <c r="R70" s="5"/>
      <c r="S70" s="5"/>
      <c r="T70" s="5"/>
      <c r="U70" s="5"/>
      <c r="V70" s="5"/>
      <c r="W70" s="5"/>
      <c r="X70" s="5"/>
      <c r="Y70" s="5"/>
      <c r="Z70" s="5"/>
      <c r="AA70" s="5"/>
      <c r="AB70" s="6"/>
      <c r="AC70" s="5"/>
    </row>
    <row r="71" spans="1:29" ht="42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6"/>
      <c r="N71" s="6"/>
      <c r="O71" s="6"/>
      <c r="P71" s="5"/>
      <c r="Q71" s="7"/>
      <c r="R71" s="5"/>
      <c r="S71" s="5"/>
      <c r="T71" s="5"/>
      <c r="U71" s="5"/>
      <c r="V71" s="5"/>
      <c r="W71" s="5"/>
      <c r="X71" s="5"/>
      <c r="Y71" s="5"/>
      <c r="Z71" s="5"/>
      <c r="AA71" s="5"/>
      <c r="AB71" s="6"/>
      <c r="AC71" s="5"/>
    </row>
    <row r="72" spans="1:29" ht="42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6"/>
      <c r="N72" s="6"/>
      <c r="O72" s="6"/>
      <c r="P72" s="5"/>
      <c r="Q72" s="7"/>
      <c r="R72" s="5"/>
      <c r="S72" s="5"/>
      <c r="T72" s="5"/>
      <c r="U72" s="5"/>
      <c r="V72" s="5"/>
      <c r="W72" s="5"/>
      <c r="X72" s="5"/>
      <c r="Y72" s="5"/>
      <c r="Z72" s="5"/>
      <c r="AA72" s="5"/>
      <c r="AB72" s="6"/>
      <c r="AC72" s="5"/>
    </row>
    <row r="73" spans="1:29" ht="42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6"/>
      <c r="N73" s="6"/>
      <c r="O73" s="6"/>
      <c r="P73" s="5"/>
      <c r="Q73" s="7"/>
      <c r="R73" s="5"/>
      <c r="S73" s="5"/>
      <c r="T73" s="5"/>
      <c r="U73" s="5"/>
      <c r="V73" s="5"/>
      <c r="W73" s="5"/>
      <c r="X73" s="5"/>
      <c r="Y73" s="5"/>
      <c r="Z73" s="5"/>
      <c r="AA73" s="5"/>
      <c r="AB73" s="6"/>
      <c r="AC73" s="5"/>
    </row>
    <row r="74" spans="1:29" ht="42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6"/>
      <c r="N74" s="6"/>
      <c r="O74" s="6"/>
      <c r="P74" s="5"/>
      <c r="Q74" s="7"/>
      <c r="R74" s="5"/>
      <c r="S74" s="5"/>
      <c r="T74" s="5"/>
      <c r="U74" s="5"/>
      <c r="V74" s="5"/>
      <c r="W74" s="5"/>
      <c r="X74" s="5"/>
      <c r="Y74" s="5"/>
      <c r="Z74" s="5"/>
      <c r="AA74" s="5"/>
      <c r="AB74" s="6"/>
      <c r="AC74" s="5"/>
    </row>
    <row r="75" spans="1:29" ht="42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6"/>
      <c r="N75" s="6"/>
      <c r="O75" s="6"/>
      <c r="P75" s="5"/>
      <c r="Q75" s="7"/>
      <c r="R75" s="5"/>
      <c r="S75" s="5"/>
      <c r="T75" s="5"/>
      <c r="U75" s="5"/>
      <c r="V75" s="5"/>
      <c r="W75" s="5"/>
      <c r="X75" s="5"/>
      <c r="Y75" s="5"/>
      <c r="Z75" s="5"/>
      <c r="AA75" s="5"/>
      <c r="AB75" s="6"/>
      <c r="AC75" s="5"/>
    </row>
    <row r="76" spans="1:29" ht="42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6"/>
      <c r="N76" s="6"/>
      <c r="O76" s="6"/>
      <c r="P76" s="5"/>
      <c r="Q76" s="7"/>
      <c r="R76" s="5"/>
      <c r="S76" s="5"/>
      <c r="T76" s="5"/>
      <c r="U76" s="5"/>
      <c r="V76" s="5"/>
      <c r="W76" s="5"/>
      <c r="X76" s="5"/>
      <c r="Y76" s="5"/>
      <c r="Z76" s="5"/>
      <c r="AA76" s="5"/>
      <c r="AB76" s="6"/>
      <c r="AC76" s="5"/>
    </row>
    <row r="77" spans="1:29" ht="42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6"/>
      <c r="N77" s="6"/>
      <c r="O77" s="6"/>
      <c r="P77" s="5"/>
      <c r="Q77" s="7"/>
      <c r="R77" s="5"/>
      <c r="S77" s="5"/>
      <c r="T77" s="5"/>
      <c r="U77" s="5"/>
      <c r="V77" s="5"/>
      <c r="W77" s="5"/>
      <c r="X77" s="5"/>
      <c r="Y77" s="5"/>
      <c r="Z77" s="5"/>
      <c r="AA77" s="5"/>
      <c r="AB77" s="6"/>
      <c r="AC77" s="5"/>
    </row>
    <row r="78" spans="1:29" ht="42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6"/>
      <c r="N78" s="6"/>
      <c r="O78" s="6"/>
      <c r="P78" s="5"/>
      <c r="Q78" s="7"/>
      <c r="R78" s="5"/>
      <c r="S78" s="5"/>
      <c r="T78" s="5"/>
      <c r="U78" s="5"/>
      <c r="V78" s="5"/>
      <c r="W78" s="5"/>
      <c r="X78" s="5"/>
      <c r="Y78" s="5"/>
      <c r="Z78" s="5"/>
      <c r="AA78" s="5"/>
      <c r="AB78" s="6"/>
      <c r="AC78" s="5"/>
    </row>
    <row r="79" spans="1:29" ht="42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6"/>
      <c r="N79" s="6"/>
      <c r="O79" s="6"/>
      <c r="P79" s="5"/>
      <c r="Q79" s="7"/>
      <c r="R79" s="5"/>
      <c r="S79" s="5"/>
      <c r="T79" s="5"/>
      <c r="U79" s="5"/>
      <c r="V79" s="5"/>
      <c r="W79" s="5"/>
      <c r="X79" s="5"/>
      <c r="Y79" s="5"/>
      <c r="Z79" s="5"/>
      <c r="AA79" s="5"/>
      <c r="AB79" s="6"/>
      <c r="AC79" s="5"/>
    </row>
    <row r="80" spans="1:29" ht="42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6"/>
      <c r="N80" s="6"/>
      <c r="O80" s="6"/>
      <c r="P80" s="5"/>
      <c r="Q80" s="7"/>
      <c r="R80" s="5"/>
      <c r="S80" s="5"/>
      <c r="T80" s="5"/>
      <c r="U80" s="5"/>
      <c r="V80" s="5"/>
      <c r="W80" s="5"/>
      <c r="X80" s="5"/>
      <c r="Y80" s="5"/>
      <c r="Z80" s="5"/>
      <c r="AA80" s="5"/>
      <c r="AB80" s="6"/>
      <c r="AC80" s="5"/>
    </row>
    <row r="81" spans="1:29" ht="42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6"/>
      <c r="N81" s="6"/>
      <c r="O81" s="6"/>
      <c r="P81" s="5"/>
      <c r="Q81" s="7"/>
      <c r="R81" s="5"/>
      <c r="S81" s="5"/>
      <c r="T81" s="5"/>
      <c r="U81" s="5"/>
      <c r="V81" s="5"/>
      <c r="W81" s="5"/>
      <c r="X81" s="5"/>
      <c r="Y81" s="5"/>
      <c r="Z81" s="5"/>
      <c r="AA81" s="5"/>
      <c r="AB81" s="6"/>
      <c r="AC81" s="5"/>
    </row>
    <row r="82" spans="1:29" ht="42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6"/>
      <c r="N82" s="6"/>
      <c r="O82" s="6"/>
      <c r="P82" s="5"/>
      <c r="Q82" s="7"/>
      <c r="R82" s="5"/>
      <c r="S82" s="5"/>
      <c r="T82" s="5"/>
      <c r="U82" s="5"/>
      <c r="V82" s="5"/>
      <c r="W82" s="5"/>
      <c r="X82" s="5"/>
      <c r="Y82" s="5"/>
      <c r="Z82" s="5"/>
      <c r="AA82" s="5"/>
      <c r="AB82" s="6"/>
      <c r="AC82" s="5"/>
    </row>
    <row r="83" spans="1:29" ht="42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6"/>
      <c r="N83" s="6"/>
      <c r="O83" s="6"/>
      <c r="P83" s="5"/>
      <c r="Q83" s="7"/>
      <c r="R83" s="5"/>
      <c r="S83" s="5"/>
      <c r="T83" s="5"/>
      <c r="U83" s="5"/>
      <c r="V83" s="5"/>
      <c r="W83" s="5"/>
      <c r="X83" s="5"/>
      <c r="Y83" s="5"/>
      <c r="Z83" s="5"/>
      <c r="AA83" s="5"/>
      <c r="AB83" s="6"/>
      <c r="AC83" s="5"/>
    </row>
    <row r="84" spans="1:29" ht="42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6"/>
      <c r="N84" s="6"/>
      <c r="O84" s="6"/>
      <c r="P84" s="5"/>
      <c r="Q84" s="7"/>
      <c r="R84" s="5"/>
      <c r="S84" s="5"/>
      <c r="T84" s="5"/>
      <c r="U84" s="5"/>
      <c r="V84" s="5"/>
      <c r="W84" s="5"/>
      <c r="X84" s="5"/>
      <c r="Y84" s="5"/>
      <c r="Z84" s="5"/>
      <c r="AA84" s="5"/>
      <c r="AB84" s="6"/>
      <c r="AC84" s="5"/>
    </row>
    <row r="85" spans="1:29" ht="42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6"/>
      <c r="N85" s="6"/>
      <c r="O85" s="6"/>
      <c r="P85" s="5"/>
      <c r="Q85" s="7"/>
      <c r="R85" s="5"/>
      <c r="S85" s="5"/>
      <c r="T85" s="5"/>
      <c r="U85" s="5"/>
      <c r="V85" s="5"/>
      <c r="W85" s="5"/>
      <c r="X85" s="5"/>
      <c r="Y85" s="5"/>
      <c r="Z85" s="5"/>
      <c r="AA85" s="5"/>
      <c r="AB85" s="6"/>
      <c r="AC85" s="5"/>
    </row>
    <row r="86" spans="1:29" ht="42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6"/>
      <c r="N86" s="6"/>
      <c r="O86" s="6"/>
      <c r="P86" s="5"/>
      <c r="Q86" s="7"/>
      <c r="R86" s="5"/>
      <c r="S86" s="5"/>
      <c r="T86" s="5"/>
      <c r="U86" s="5"/>
      <c r="V86" s="5"/>
      <c r="W86" s="5"/>
      <c r="X86" s="5"/>
      <c r="Y86" s="5"/>
      <c r="Z86" s="5"/>
      <c r="AA86" s="5"/>
      <c r="AB86" s="6"/>
      <c r="AC86" s="5"/>
    </row>
    <row r="87" spans="1:29" ht="42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6"/>
      <c r="N87" s="6"/>
      <c r="O87" s="6"/>
      <c r="P87" s="5"/>
      <c r="Q87" s="7"/>
      <c r="R87" s="5"/>
      <c r="S87" s="5"/>
      <c r="T87" s="5"/>
      <c r="U87" s="5"/>
      <c r="V87" s="5"/>
      <c r="W87" s="5"/>
      <c r="X87" s="5"/>
      <c r="Y87" s="5"/>
      <c r="Z87" s="5"/>
      <c r="AA87" s="5"/>
      <c r="AB87" s="6"/>
      <c r="AC87" s="5"/>
    </row>
    <row r="88" spans="1:29" ht="42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6"/>
      <c r="N88" s="6"/>
      <c r="O88" s="6"/>
      <c r="P88" s="5"/>
      <c r="Q88" s="7"/>
      <c r="R88" s="5"/>
      <c r="S88" s="5"/>
      <c r="T88" s="5"/>
      <c r="U88" s="5"/>
      <c r="V88" s="5"/>
      <c r="W88" s="5"/>
      <c r="X88" s="5"/>
      <c r="Y88" s="5"/>
      <c r="Z88" s="5"/>
      <c r="AA88" s="5"/>
      <c r="AB88" s="6"/>
      <c r="AC88" s="5"/>
    </row>
    <row r="89" spans="1:29" ht="42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6"/>
      <c r="N89" s="6"/>
      <c r="O89" s="6"/>
      <c r="P89" s="5"/>
      <c r="Q89" s="7"/>
      <c r="R89" s="5"/>
      <c r="S89" s="5"/>
      <c r="T89" s="5"/>
      <c r="U89" s="5"/>
      <c r="V89" s="5"/>
      <c r="W89" s="5"/>
      <c r="X89" s="5"/>
      <c r="Y89" s="5"/>
      <c r="Z89" s="5"/>
      <c r="AA89" s="5"/>
      <c r="AB89" s="6"/>
      <c r="AC89" s="5"/>
    </row>
    <row r="90" spans="1:29" ht="42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6"/>
      <c r="N90" s="6"/>
      <c r="O90" s="6"/>
      <c r="P90" s="5"/>
      <c r="Q90" s="7"/>
      <c r="R90" s="5"/>
      <c r="S90" s="5"/>
      <c r="T90" s="5"/>
      <c r="U90" s="5"/>
      <c r="V90" s="5"/>
      <c r="W90" s="5"/>
      <c r="X90" s="5"/>
      <c r="Y90" s="5"/>
      <c r="Z90" s="5"/>
      <c r="AA90" s="5"/>
      <c r="AB90" s="6"/>
      <c r="AC90" s="5"/>
    </row>
    <row r="91" spans="1:29" ht="42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6"/>
      <c r="N91" s="6"/>
      <c r="O91" s="6"/>
      <c r="P91" s="5"/>
      <c r="Q91" s="7"/>
      <c r="R91" s="5"/>
      <c r="S91" s="5"/>
      <c r="T91" s="5"/>
      <c r="U91" s="5"/>
      <c r="V91" s="5"/>
      <c r="W91" s="5"/>
      <c r="X91" s="5"/>
      <c r="Y91" s="5"/>
      <c r="Z91" s="5"/>
      <c r="AA91" s="5"/>
      <c r="AB91" s="6"/>
      <c r="AC91" s="5"/>
    </row>
    <row r="92" spans="1:29" ht="42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6"/>
      <c r="N92" s="6"/>
      <c r="O92" s="6"/>
      <c r="P92" s="5"/>
      <c r="Q92" s="7"/>
      <c r="R92" s="5"/>
      <c r="S92" s="5"/>
      <c r="T92" s="5"/>
      <c r="U92" s="5"/>
      <c r="V92" s="5"/>
      <c r="W92" s="5"/>
      <c r="X92" s="5"/>
      <c r="Y92" s="5"/>
      <c r="Z92" s="5"/>
      <c r="AA92" s="5"/>
      <c r="AB92" s="6"/>
      <c r="AC92" s="5"/>
    </row>
    <row r="93" spans="1:29" ht="42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6"/>
      <c r="N93" s="6"/>
      <c r="O93" s="6"/>
      <c r="P93" s="5"/>
      <c r="Q93" s="7"/>
      <c r="R93" s="5"/>
      <c r="S93" s="5"/>
      <c r="T93" s="5"/>
      <c r="U93" s="5"/>
      <c r="V93" s="5"/>
      <c r="W93" s="5"/>
      <c r="X93" s="5"/>
      <c r="Y93" s="5"/>
      <c r="Z93" s="5"/>
      <c r="AA93" s="5"/>
      <c r="AB93" s="6"/>
      <c r="AC93" s="5"/>
    </row>
    <row r="94" spans="1:29" ht="42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6"/>
      <c r="N94" s="6"/>
      <c r="O94" s="6"/>
      <c r="P94" s="5"/>
      <c r="Q94" s="7"/>
      <c r="R94" s="5"/>
      <c r="S94" s="5"/>
      <c r="T94" s="5"/>
      <c r="U94" s="5"/>
      <c r="V94" s="5"/>
      <c r="W94" s="5"/>
      <c r="X94" s="5"/>
      <c r="Y94" s="5"/>
      <c r="Z94" s="5"/>
      <c r="AA94" s="5"/>
      <c r="AB94" s="6"/>
      <c r="AC94" s="5"/>
    </row>
    <row r="95" spans="1:29" ht="42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6"/>
      <c r="N95" s="6"/>
      <c r="O95" s="6"/>
      <c r="P95" s="5"/>
      <c r="Q95" s="7"/>
      <c r="R95" s="5"/>
      <c r="S95" s="5"/>
      <c r="T95" s="5"/>
      <c r="U95" s="5"/>
      <c r="V95" s="5"/>
      <c r="W95" s="5"/>
      <c r="X95" s="5"/>
      <c r="Y95" s="5"/>
      <c r="Z95" s="5"/>
      <c r="AA95" s="5"/>
      <c r="AB95" s="6"/>
      <c r="AC95" s="5"/>
    </row>
    <row r="96" spans="1:29" ht="42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6"/>
      <c r="N96" s="6"/>
      <c r="O96" s="6"/>
      <c r="P96" s="5"/>
      <c r="Q96" s="7"/>
      <c r="R96" s="5"/>
      <c r="S96" s="5"/>
      <c r="T96" s="5"/>
      <c r="U96" s="5"/>
      <c r="V96" s="5"/>
      <c r="W96" s="5"/>
      <c r="X96" s="5"/>
      <c r="Y96" s="5"/>
      <c r="Z96" s="5"/>
      <c r="AA96" s="5"/>
      <c r="AB96" s="6"/>
      <c r="AC96" s="5"/>
    </row>
    <row r="97" spans="1:29" ht="42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6"/>
      <c r="N97" s="6"/>
      <c r="O97" s="6"/>
      <c r="P97" s="5"/>
      <c r="Q97" s="7"/>
      <c r="R97" s="5"/>
      <c r="S97" s="5"/>
      <c r="T97" s="5"/>
      <c r="U97" s="5"/>
      <c r="V97" s="5"/>
      <c r="W97" s="5"/>
      <c r="X97" s="5"/>
      <c r="Y97" s="5"/>
      <c r="Z97" s="5"/>
      <c r="AA97" s="5"/>
      <c r="AB97" s="6"/>
      <c r="AC97" s="5"/>
    </row>
    <row r="98" spans="1:29" ht="42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6"/>
      <c r="N98" s="6"/>
      <c r="O98" s="6"/>
      <c r="P98" s="5"/>
      <c r="Q98" s="7"/>
      <c r="R98" s="5"/>
      <c r="S98" s="5"/>
      <c r="T98" s="5"/>
      <c r="U98" s="5"/>
      <c r="V98" s="5"/>
      <c r="W98" s="5"/>
      <c r="X98" s="5"/>
      <c r="Y98" s="5"/>
      <c r="Z98" s="5"/>
      <c r="AA98" s="5"/>
      <c r="AB98" s="6"/>
      <c r="AC98" s="5"/>
    </row>
    <row r="99" spans="1:29" ht="42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6"/>
      <c r="N99" s="6"/>
      <c r="O99" s="6"/>
      <c r="P99" s="5"/>
      <c r="Q99" s="7"/>
      <c r="R99" s="5"/>
      <c r="S99" s="5"/>
      <c r="T99" s="5"/>
      <c r="U99" s="5"/>
      <c r="V99" s="5"/>
      <c r="W99" s="5"/>
      <c r="X99" s="5"/>
      <c r="Y99" s="5"/>
      <c r="Z99" s="5"/>
      <c r="AA99" s="5"/>
      <c r="AB99" s="6"/>
      <c r="AC99" s="5"/>
    </row>
    <row r="100" spans="1:29" ht="42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6"/>
      <c r="N100" s="6"/>
      <c r="O100" s="6"/>
      <c r="P100" s="5"/>
      <c r="Q100" s="7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6"/>
      <c r="AC100" s="5"/>
    </row>
    <row r="101" spans="1:29" ht="42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6"/>
      <c r="N101" s="6"/>
      <c r="O101" s="6"/>
      <c r="P101" s="5"/>
      <c r="Q101" s="7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6"/>
      <c r="AC101" s="5"/>
    </row>
    <row r="102" spans="1:29" ht="42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6"/>
      <c r="N102" s="6"/>
      <c r="O102" s="6"/>
      <c r="P102" s="5"/>
      <c r="Q102" s="7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6"/>
      <c r="AC102" s="5"/>
    </row>
    <row r="103" spans="1:29" ht="42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6"/>
      <c r="N103" s="6"/>
      <c r="O103" s="6"/>
      <c r="P103" s="5"/>
      <c r="Q103" s="7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6"/>
      <c r="AC103" s="5"/>
    </row>
    <row r="104" spans="1:29" ht="42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6"/>
      <c r="N104" s="6"/>
      <c r="O104" s="6"/>
      <c r="P104" s="5"/>
      <c r="Q104" s="7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6"/>
      <c r="AC104" s="5"/>
    </row>
    <row r="105" spans="1:29" ht="42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6"/>
      <c r="N105" s="6"/>
      <c r="O105" s="6"/>
      <c r="P105" s="5"/>
      <c r="Q105" s="7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6"/>
      <c r="AC105" s="5"/>
    </row>
    <row r="106" spans="1:29" ht="42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6"/>
      <c r="N106" s="6"/>
      <c r="O106" s="6"/>
      <c r="P106" s="5"/>
      <c r="Q106" s="7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6"/>
      <c r="AC106" s="5"/>
    </row>
    <row r="107" spans="1:29" ht="42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6"/>
      <c r="N107" s="6"/>
      <c r="O107" s="6"/>
      <c r="P107" s="5"/>
      <c r="Q107" s="7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6"/>
      <c r="AC107" s="5"/>
    </row>
    <row r="108" spans="1:29" ht="42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6"/>
      <c r="N108" s="6"/>
      <c r="O108" s="6"/>
      <c r="P108" s="5"/>
      <c r="Q108" s="7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6"/>
      <c r="AC108" s="5"/>
    </row>
    <row r="109" spans="1:29" ht="42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6"/>
      <c r="N109" s="6"/>
      <c r="O109" s="6"/>
      <c r="P109" s="5"/>
      <c r="Q109" s="7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6"/>
      <c r="AC109" s="5"/>
    </row>
    <row r="110" spans="1:29" ht="42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6"/>
      <c r="N110" s="6"/>
      <c r="O110" s="6"/>
      <c r="P110" s="5"/>
      <c r="Q110" s="7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6"/>
      <c r="AC110" s="5"/>
    </row>
    <row r="111" spans="1:29" ht="42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6"/>
      <c r="N111" s="6"/>
      <c r="O111" s="6"/>
      <c r="P111" s="5"/>
      <c r="Q111" s="7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6"/>
      <c r="AC111" s="5"/>
    </row>
    <row r="112" spans="1:29" ht="42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6"/>
      <c r="N112" s="6"/>
      <c r="O112" s="6"/>
      <c r="P112" s="5"/>
      <c r="Q112" s="7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6"/>
      <c r="AC112" s="5"/>
    </row>
    <row r="113" spans="1:29" ht="42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6"/>
      <c r="N113" s="6"/>
      <c r="O113" s="6"/>
      <c r="P113" s="5"/>
      <c r="Q113" s="7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6"/>
      <c r="AC113" s="5"/>
    </row>
    <row r="114" spans="1:29" ht="42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6"/>
      <c r="N114" s="6"/>
      <c r="O114" s="6"/>
      <c r="P114" s="5"/>
      <c r="Q114" s="7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6"/>
      <c r="AC114" s="5"/>
    </row>
    <row r="115" spans="1:29" ht="42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6"/>
      <c r="N115" s="6"/>
      <c r="O115" s="6"/>
      <c r="P115" s="5"/>
      <c r="Q115" s="7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6"/>
      <c r="AC115" s="5"/>
    </row>
    <row r="116" spans="1:29" ht="42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6"/>
      <c r="N116" s="6"/>
      <c r="O116" s="6"/>
      <c r="P116" s="5"/>
      <c r="Q116" s="7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6"/>
      <c r="AC116" s="5"/>
    </row>
    <row r="117" spans="1:29" ht="42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6"/>
      <c r="N117" s="6"/>
      <c r="O117" s="6"/>
      <c r="P117" s="5"/>
      <c r="Q117" s="7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6"/>
      <c r="AC117" s="5"/>
    </row>
    <row r="118" spans="1:29" ht="42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6"/>
      <c r="N118" s="6"/>
      <c r="O118" s="6"/>
      <c r="P118" s="5"/>
      <c r="Q118" s="7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6"/>
      <c r="AC118" s="5"/>
    </row>
    <row r="119" spans="1:29" ht="42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6"/>
      <c r="N119" s="6"/>
      <c r="O119" s="6"/>
      <c r="P119" s="5"/>
      <c r="Q119" s="7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6"/>
      <c r="AC119" s="5"/>
    </row>
    <row r="120" spans="1:29" ht="42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6"/>
      <c r="N120" s="6"/>
      <c r="O120" s="6"/>
      <c r="P120" s="5"/>
      <c r="Q120" s="7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6"/>
      <c r="AC120" s="5"/>
    </row>
    <row r="121" spans="1:29" ht="42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6"/>
      <c r="N121" s="6"/>
      <c r="O121" s="6"/>
      <c r="P121" s="5"/>
      <c r="Q121" s="7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6"/>
      <c r="AC121" s="5"/>
    </row>
    <row r="122" spans="1:29" ht="42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6"/>
      <c r="N122" s="6"/>
      <c r="O122" s="6"/>
      <c r="P122" s="5"/>
      <c r="Q122" s="7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6"/>
      <c r="AC122" s="5"/>
    </row>
    <row r="123" spans="1:29" ht="42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6"/>
      <c r="N123" s="6"/>
      <c r="O123" s="6"/>
      <c r="P123" s="5"/>
      <c r="Q123" s="7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6"/>
      <c r="AC123" s="5"/>
    </row>
    <row r="124" spans="1:29" ht="42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6"/>
      <c r="N124" s="6"/>
      <c r="O124" s="6"/>
      <c r="P124" s="5"/>
      <c r="Q124" s="7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6"/>
      <c r="AC124" s="5"/>
    </row>
    <row r="125" spans="1:29" ht="42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6"/>
      <c r="N125" s="6"/>
      <c r="O125" s="6"/>
      <c r="P125" s="5"/>
      <c r="Q125" s="7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6"/>
      <c r="AC125" s="5"/>
    </row>
    <row r="126" spans="1:29" ht="42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6"/>
      <c r="N126" s="6"/>
      <c r="O126" s="6"/>
      <c r="P126" s="5"/>
      <c r="Q126" s="7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6"/>
      <c r="AC126" s="5"/>
    </row>
    <row r="127" spans="1:29" ht="42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6"/>
      <c r="N127" s="6"/>
      <c r="O127" s="6"/>
      <c r="P127" s="5"/>
      <c r="Q127" s="7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6"/>
      <c r="AC127" s="5"/>
    </row>
    <row r="128" spans="1:29" ht="42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6"/>
      <c r="N128" s="6"/>
      <c r="O128" s="6"/>
      <c r="P128" s="5"/>
      <c r="Q128" s="7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6"/>
      <c r="AC128" s="5"/>
    </row>
    <row r="129" spans="1:29" ht="42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6"/>
      <c r="N129" s="6"/>
      <c r="O129" s="6"/>
      <c r="P129" s="5"/>
      <c r="Q129" s="7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6"/>
      <c r="AC129" s="5"/>
    </row>
    <row r="130" spans="1:29" ht="42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6"/>
      <c r="N130" s="6"/>
      <c r="O130" s="6"/>
      <c r="P130" s="5"/>
      <c r="Q130" s="7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6"/>
      <c r="AC130" s="5"/>
    </row>
    <row r="131" spans="1:29" ht="42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6"/>
      <c r="N131" s="6"/>
      <c r="O131" s="6"/>
      <c r="P131" s="5"/>
      <c r="Q131" s="7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6"/>
      <c r="AC131" s="5"/>
    </row>
    <row r="132" spans="1:29" ht="42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6"/>
      <c r="N132" s="6"/>
      <c r="O132" s="6"/>
      <c r="P132" s="5"/>
      <c r="Q132" s="7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6"/>
      <c r="AC132" s="5"/>
    </row>
    <row r="133" spans="1:29" ht="42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6"/>
      <c r="N133" s="6"/>
      <c r="O133" s="6"/>
      <c r="P133" s="5"/>
      <c r="Q133" s="7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6"/>
      <c r="AC133" s="5"/>
    </row>
    <row r="134" spans="1:29" ht="42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6"/>
      <c r="N134" s="6"/>
      <c r="O134" s="6"/>
      <c r="P134" s="5"/>
      <c r="Q134" s="7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6"/>
      <c r="AC134" s="5"/>
    </row>
    <row r="135" spans="1:29" ht="42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6"/>
      <c r="N135" s="6"/>
      <c r="O135" s="6"/>
      <c r="P135" s="5"/>
      <c r="Q135" s="7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6"/>
      <c r="AC135" s="5"/>
    </row>
    <row r="136" spans="1:29" ht="42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6"/>
      <c r="N136" s="6"/>
      <c r="O136" s="6"/>
      <c r="P136" s="5"/>
      <c r="Q136" s="7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6"/>
      <c r="AC136" s="5"/>
    </row>
    <row r="137" spans="1:29" ht="42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6"/>
      <c r="N137" s="6"/>
      <c r="O137" s="6"/>
      <c r="P137" s="5"/>
      <c r="Q137" s="7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6"/>
      <c r="AC137" s="5"/>
    </row>
    <row r="138" spans="1:29" ht="42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6"/>
      <c r="N138" s="6"/>
      <c r="O138" s="6"/>
      <c r="P138" s="5"/>
      <c r="Q138" s="7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6"/>
      <c r="AC138" s="5"/>
    </row>
    <row r="139" spans="1:29" ht="42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6"/>
      <c r="N139" s="6"/>
      <c r="O139" s="6"/>
      <c r="P139" s="5"/>
      <c r="Q139" s="7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6"/>
      <c r="AC139" s="5"/>
    </row>
    <row r="140" spans="1:29" ht="42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6"/>
      <c r="N140" s="6"/>
      <c r="O140" s="6"/>
      <c r="P140" s="5"/>
      <c r="Q140" s="7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6"/>
      <c r="AC140" s="5"/>
    </row>
    <row r="141" spans="1:29" ht="42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6"/>
      <c r="N141" s="6"/>
      <c r="O141" s="6"/>
      <c r="P141" s="5"/>
      <c r="Q141" s="7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6"/>
      <c r="AC141" s="5"/>
    </row>
    <row r="142" spans="1:29" ht="42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6"/>
      <c r="N142" s="6"/>
      <c r="O142" s="6"/>
      <c r="P142" s="5"/>
      <c r="Q142" s="7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6"/>
      <c r="AC142" s="5"/>
    </row>
    <row r="143" spans="1:29" ht="42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6"/>
      <c r="N143" s="6"/>
      <c r="O143" s="6"/>
      <c r="P143" s="5"/>
      <c r="Q143" s="7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6"/>
      <c r="AC143" s="5"/>
    </row>
    <row r="144" spans="1:29" ht="42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6"/>
      <c r="N144" s="6"/>
      <c r="O144" s="6"/>
      <c r="P144" s="5"/>
      <c r="Q144" s="7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6"/>
      <c r="AC144" s="5"/>
    </row>
    <row r="145" spans="1:29" ht="42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6"/>
      <c r="N145" s="6"/>
      <c r="O145" s="6"/>
      <c r="P145" s="5"/>
      <c r="Q145" s="7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6"/>
      <c r="AC145" s="5"/>
    </row>
    <row r="146" spans="1:29" ht="42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6"/>
      <c r="N146" s="6"/>
      <c r="O146" s="6"/>
      <c r="P146" s="5"/>
      <c r="Q146" s="7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6"/>
      <c r="AC146" s="5"/>
    </row>
    <row r="147" spans="1:29" ht="42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6"/>
      <c r="N147" s="6"/>
      <c r="O147" s="6"/>
      <c r="P147" s="5"/>
      <c r="Q147" s="7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6"/>
      <c r="AC147" s="5"/>
    </row>
    <row r="148" spans="1:29" ht="42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6"/>
      <c r="N148" s="6"/>
      <c r="O148" s="6"/>
      <c r="P148" s="5"/>
      <c r="Q148" s="7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6"/>
      <c r="AC148" s="5"/>
    </row>
    <row r="149" spans="1:29" ht="42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6"/>
      <c r="N149" s="6"/>
      <c r="O149" s="6"/>
      <c r="P149" s="5"/>
      <c r="Q149" s="7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6"/>
      <c r="AC149" s="5"/>
    </row>
    <row r="150" spans="1:29" ht="42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6"/>
      <c r="N150" s="6"/>
      <c r="O150" s="6"/>
      <c r="P150" s="5"/>
      <c r="Q150" s="7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6"/>
      <c r="AC150" s="5"/>
    </row>
    <row r="151" spans="1:29" ht="42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6"/>
      <c r="N151" s="6"/>
      <c r="O151" s="6"/>
      <c r="P151" s="5"/>
      <c r="Q151" s="7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6"/>
      <c r="AC151" s="5"/>
    </row>
    <row r="152" spans="1:29" ht="42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6"/>
      <c r="N152" s="6"/>
      <c r="O152" s="6"/>
      <c r="P152" s="5"/>
      <c r="Q152" s="7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6"/>
      <c r="AC152" s="5"/>
    </row>
    <row r="153" spans="1:29" ht="42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6"/>
      <c r="N153" s="6"/>
      <c r="O153" s="6"/>
      <c r="P153" s="5"/>
      <c r="Q153" s="7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6"/>
      <c r="AC153" s="5"/>
    </row>
    <row r="154" spans="1:29" ht="42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6"/>
      <c r="N154" s="6"/>
      <c r="O154" s="6"/>
      <c r="P154" s="5"/>
      <c r="Q154" s="7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6"/>
      <c r="AC154" s="5"/>
    </row>
    <row r="155" spans="1:29" ht="42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6"/>
      <c r="N155" s="6"/>
      <c r="O155" s="6"/>
      <c r="P155" s="5"/>
      <c r="Q155" s="7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6"/>
      <c r="AC155" s="5"/>
    </row>
    <row r="156" spans="1:29" ht="42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6"/>
      <c r="N156" s="6"/>
      <c r="O156" s="6"/>
      <c r="P156" s="5"/>
      <c r="Q156" s="7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6"/>
      <c r="AC156" s="5"/>
    </row>
    <row r="157" spans="1:29" ht="42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6"/>
      <c r="N157" s="6"/>
      <c r="O157" s="6"/>
      <c r="P157" s="5"/>
      <c r="Q157" s="7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6"/>
      <c r="AC157" s="5"/>
    </row>
    <row r="158" spans="1:29" ht="42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6"/>
      <c r="N158" s="6"/>
      <c r="O158" s="6"/>
      <c r="P158" s="5"/>
      <c r="Q158" s="7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6"/>
      <c r="AC158" s="5"/>
    </row>
    <row r="159" spans="1:29" ht="42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6"/>
      <c r="N159" s="6"/>
      <c r="O159" s="6"/>
      <c r="P159" s="5"/>
      <c r="Q159" s="7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6"/>
      <c r="AC159" s="5"/>
    </row>
    <row r="160" spans="1:29" ht="42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6"/>
      <c r="N160" s="6"/>
      <c r="O160" s="6"/>
      <c r="P160" s="5"/>
      <c r="Q160" s="7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6"/>
      <c r="AC160" s="5"/>
    </row>
    <row r="161" spans="1:29" ht="42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6"/>
      <c r="N161" s="6"/>
      <c r="O161" s="6"/>
      <c r="P161" s="5"/>
      <c r="Q161" s="7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6"/>
      <c r="AC161" s="5"/>
    </row>
    <row r="162" spans="1:29" ht="42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6"/>
      <c r="N162" s="6"/>
      <c r="O162" s="6"/>
      <c r="P162" s="5"/>
      <c r="Q162" s="7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6"/>
      <c r="AC162" s="5"/>
    </row>
    <row r="163" spans="1:29" ht="42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6"/>
      <c r="N163" s="6"/>
      <c r="O163" s="6"/>
      <c r="P163" s="5"/>
      <c r="Q163" s="7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6"/>
      <c r="AC163" s="5"/>
    </row>
    <row r="164" spans="1:29" ht="42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6"/>
      <c r="N164" s="6"/>
      <c r="O164" s="6"/>
      <c r="P164" s="5"/>
      <c r="Q164" s="7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6"/>
      <c r="AC164" s="5"/>
    </row>
    <row r="165" spans="1:29" ht="42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6"/>
      <c r="N165" s="6"/>
      <c r="O165" s="6"/>
      <c r="P165" s="5"/>
      <c r="Q165" s="7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6"/>
      <c r="AC165" s="5"/>
    </row>
    <row r="166" spans="1:29" ht="42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6"/>
      <c r="N166" s="6"/>
      <c r="O166" s="6"/>
      <c r="P166" s="5"/>
      <c r="Q166" s="7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6"/>
      <c r="AC166" s="5"/>
    </row>
    <row r="167" spans="1:29" ht="42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6"/>
      <c r="N167" s="6"/>
      <c r="O167" s="6"/>
      <c r="P167" s="5"/>
      <c r="Q167" s="7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6"/>
      <c r="AC167" s="5"/>
    </row>
    <row r="168" spans="1:29" ht="42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6"/>
      <c r="N168" s="6"/>
      <c r="O168" s="6"/>
      <c r="P168" s="5"/>
      <c r="Q168" s="7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6"/>
      <c r="AC168" s="5"/>
    </row>
    <row r="169" spans="1:29" ht="42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6"/>
      <c r="N169" s="6"/>
      <c r="O169" s="6"/>
      <c r="P169" s="5"/>
      <c r="Q169" s="7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6"/>
      <c r="AC169" s="5"/>
    </row>
    <row r="170" spans="1:29" ht="42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6"/>
      <c r="N170" s="6"/>
      <c r="O170" s="6"/>
      <c r="P170" s="5"/>
      <c r="Q170" s="7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6"/>
      <c r="AC170" s="5"/>
    </row>
    <row r="171" spans="1:29" ht="42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6"/>
      <c r="N171" s="6"/>
      <c r="O171" s="6"/>
      <c r="P171" s="5"/>
      <c r="Q171" s="7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6"/>
      <c r="AC171" s="5"/>
    </row>
    <row r="172" spans="1:29" ht="42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6"/>
      <c r="N172" s="6"/>
      <c r="O172" s="6"/>
      <c r="P172" s="5"/>
      <c r="Q172" s="7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6"/>
      <c r="AC172" s="5"/>
    </row>
    <row r="173" spans="1:29" ht="42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6"/>
      <c r="N173" s="6"/>
      <c r="O173" s="6"/>
      <c r="P173" s="5"/>
      <c r="Q173" s="7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6"/>
      <c r="AC173" s="5"/>
    </row>
    <row r="174" spans="1:29" ht="42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6"/>
      <c r="N174" s="6"/>
      <c r="O174" s="6"/>
      <c r="P174" s="5"/>
      <c r="Q174" s="7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6"/>
      <c r="AC174" s="5"/>
    </row>
    <row r="175" spans="1:29" ht="42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6"/>
      <c r="N175" s="6"/>
      <c r="O175" s="6"/>
      <c r="P175" s="5"/>
      <c r="Q175" s="7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6"/>
      <c r="AC175" s="5"/>
    </row>
    <row r="176" spans="1:29" ht="42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6"/>
      <c r="N176" s="6"/>
      <c r="O176" s="6"/>
      <c r="P176" s="5"/>
      <c r="Q176" s="7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6"/>
      <c r="AC176" s="5"/>
    </row>
    <row r="177" spans="1:29" ht="42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6"/>
      <c r="N177" s="6"/>
      <c r="O177" s="6"/>
      <c r="P177" s="5"/>
      <c r="Q177" s="7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6"/>
      <c r="AC177" s="5"/>
    </row>
    <row r="178" spans="1:29" ht="42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6"/>
      <c r="N178" s="6"/>
      <c r="O178" s="6"/>
      <c r="P178" s="5"/>
      <c r="Q178" s="7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6"/>
      <c r="AC178" s="5"/>
    </row>
    <row r="179" spans="1:29" ht="42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6"/>
      <c r="N179" s="6"/>
      <c r="O179" s="6"/>
      <c r="P179" s="5"/>
      <c r="Q179" s="7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6"/>
      <c r="AC179" s="5"/>
    </row>
    <row r="180" spans="1:29" ht="42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6"/>
      <c r="N180" s="6"/>
      <c r="O180" s="6"/>
      <c r="P180" s="5"/>
      <c r="Q180" s="7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6"/>
      <c r="AC180" s="5"/>
    </row>
    <row r="181" spans="1:29" ht="42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6"/>
      <c r="N181" s="6"/>
      <c r="O181" s="6"/>
      <c r="P181" s="5"/>
      <c r="Q181" s="7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6"/>
      <c r="AC181" s="5"/>
    </row>
    <row r="182" spans="1:29" ht="42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6"/>
      <c r="N182" s="6"/>
      <c r="O182" s="6"/>
      <c r="P182" s="5"/>
      <c r="Q182" s="7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6"/>
      <c r="AC182" s="5"/>
    </row>
    <row r="183" spans="1:29" ht="42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6"/>
      <c r="N183" s="6"/>
      <c r="O183" s="6"/>
      <c r="P183" s="5"/>
      <c r="Q183" s="7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6"/>
      <c r="AC183" s="5"/>
    </row>
    <row r="184" spans="1:29" ht="42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6"/>
      <c r="N184" s="6"/>
      <c r="O184" s="6"/>
      <c r="P184" s="5"/>
      <c r="Q184" s="7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6"/>
      <c r="AC184" s="5"/>
    </row>
    <row r="185" spans="1:29" ht="42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6"/>
      <c r="N185" s="6"/>
      <c r="O185" s="6"/>
      <c r="P185" s="5"/>
      <c r="Q185" s="7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6"/>
      <c r="AC185" s="5"/>
    </row>
    <row r="186" spans="1:29" ht="42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6"/>
      <c r="N186" s="6"/>
      <c r="O186" s="6"/>
      <c r="P186" s="5"/>
      <c r="Q186" s="7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6"/>
      <c r="AC186" s="5"/>
    </row>
    <row r="187" spans="1:29" ht="42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6"/>
      <c r="N187" s="6"/>
      <c r="O187" s="6"/>
      <c r="P187" s="5"/>
      <c r="Q187" s="7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6"/>
      <c r="AC187" s="5"/>
    </row>
    <row r="188" spans="1:29" ht="42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6"/>
      <c r="N188" s="6"/>
      <c r="O188" s="6"/>
      <c r="P188" s="5"/>
      <c r="Q188" s="7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6"/>
      <c r="AC188" s="5"/>
    </row>
    <row r="189" spans="1:29" ht="42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6"/>
      <c r="N189" s="6"/>
      <c r="O189" s="6"/>
      <c r="P189" s="5"/>
      <c r="Q189" s="7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6"/>
      <c r="AC189" s="5"/>
    </row>
    <row r="190" spans="1:29" ht="42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6"/>
      <c r="N190" s="6"/>
      <c r="O190" s="6"/>
      <c r="P190" s="5"/>
      <c r="Q190" s="7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6"/>
      <c r="AC190" s="5"/>
    </row>
    <row r="191" spans="1:29" ht="42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6"/>
      <c r="N191" s="6"/>
      <c r="O191" s="6"/>
      <c r="P191" s="5"/>
      <c r="Q191" s="7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6"/>
      <c r="AC191" s="5"/>
    </row>
    <row r="192" spans="1:29" ht="42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6"/>
      <c r="N192" s="6"/>
      <c r="O192" s="6"/>
      <c r="P192" s="5"/>
      <c r="Q192" s="7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6"/>
      <c r="AC192" s="5"/>
    </row>
    <row r="193" spans="1:29" ht="42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6"/>
      <c r="N193" s="6"/>
      <c r="O193" s="6"/>
      <c r="P193" s="5"/>
      <c r="Q193" s="7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6"/>
      <c r="AC193" s="5"/>
    </row>
    <row r="194" spans="1:29" ht="42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6"/>
      <c r="N194" s="6"/>
      <c r="O194" s="6"/>
      <c r="P194" s="5"/>
      <c r="Q194" s="7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6"/>
      <c r="AC194" s="5"/>
    </row>
    <row r="195" spans="1:29" ht="42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6"/>
      <c r="N195" s="6"/>
      <c r="O195" s="6"/>
      <c r="P195" s="5"/>
      <c r="Q195" s="7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6"/>
      <c r="AC195" s="5"/>
    </row>
    <row r="196" spans="1:29" ht="42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6"/>
      <c r="N196" s="6"/>
      <c r="O196" s="6"/>
      <c r="P196" s="5"/>
      <c r="Q196" s="7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6"/>
      <c r="AC196" s="5"/>
    </row>
    <row r="197" spans="1:29" ht="42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6"/>
      <c r="N197" s="6"/>
      <c r="O197" s="6"/>
      <c r="P197" s="5"/>
      <c r="Q197" s="7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6"/>
      <c r="AC197" s="5"/>
    </row>
    <row r="198" spans="1:29" ht="42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6"/>
      <c r="N198" s="6"/>
      <c r="O198" s="6"/>
      <c r="P198" s="5"/>
      <c r="Q198" s="7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6"/>
      <c r="AC198" s="5"/>
    </row>
    <row r="199" spans="1:29" ht="42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6"/>
      <c r="N199" s="6"/>
      <c r="O199" s="6"/>
      <c r="P199" s="5"/>
      <c r="Q199" s="7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6"/>
      <c r="AC199" s="5"/>
    </row>
    <row r="200" spans="1:29" ht="42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6"/>
      <c r="N200" s="6"/>
      <c r="O200" s="6"/>
      <c r="P200" s="5"/>
      <c r="Q200" s="7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6"/>
      <c r="AC200" s="5"/>
    </row>
    <row r="201" spans="1:29" ht="42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6"/>
      <c r="N201" s="6"/>
      <c r="O201" s="6"/>
      <c r="P201" s="5"/>
      <c r="Q201" s="7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6"/>
      <c r="AC201" s="5"/>
    </row>
    <row r="202" spans="1:29" ht="42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6"/>
      <c r="N202" s="6"/>
      <c r="O202" s="6"/>
      <c r="P202" s="5"/>
      <c r="Q202" s="7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6"/>
      <c r="AC202" s="5"/>
    </row>
    <row r="203" spans="1:29" ht="42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6"/>
      <c r="N203" s="6"/>
      <c r="O203" s="6"/>
      <c r="P203" s="5"/>
      <c r="Q203" s="7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6"/>
      <c r="AC203" s="5"/>
    </row>
    <row r="204" spans="1:29" ht="42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6"/>
      <c r="N204" s="6"/>
      <c r="O204" s="6"/>
      <c r="P204" s="5"/>
      <c r="Q204" s="7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6"/>
      <c r="AC204" s="5"/>
    </row>
    <row r="205" spans="1:29" ht="42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6"/>
      <c r="N205" s="6"/>
      <c r="O205" s="6"/>
      <c r="P205" s="5"/>
      <c r="Q205" s="7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6"/>
      <c r="AC205" s="5"/>
    </row>
    <row r="206" spans="1:29" ht="42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6"/>
      <c r="N206" s="6"/>
      <c r="O206" s="6"/>
      <c r="P206" s="5"/>
      <c r="Q206" s="7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6"/>
      <c r="AC206" s="5"/>
    </row>
    <row r="207" spans="1:29" ht="42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6"/>
      <c r="N207" s="6"/>
      <c r="O207" s="6"/>
      <c r="P207" s="5"/>
      <c r="Q207" s="7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6"/>
      <c r="AC207" s="5"/>
    </row>
    <row r="208" spans="1:29" ht="42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6"/>
      <c r="N208" s="6"/>
      <c r="O208" s="6"/>
      <c r="P208" s="5"/>
      <c r="Q208" s="7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6"/>
      <c r="AC208" s="5"/>
    </row>
    <row r="209" spans="1:29" ht="42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6"/>
      <c r="N209" s="6"/>
      <c r="O209" s="6"/>
      <c r="P209" s="5"/>
      <c r="Q209" s="7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6"/>
      <c r="AC209" s="5"/>
    </row>
    <row r="210" spans="1:29" ht="42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6"/>
      <c r="N210" s="6"/>
      <c r="O210" s="6"/>
      <c r="P210" s="5"/>
      <c r="Q210" s="7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6"/>
      <c r="AC210" s="5"/>
    </row>
    <row r="211" spans="1:29" ht="42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6"/>
      <c r="N211" s="6"/>
      <c r="O211" s="6"/>
      <c r="P211" s="5"/>
      <c r="Q211" s="7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6"/>
      <c r="AC211" s="5"/>
    </row>
    <row r="212" spans="1:29" ht="42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6"/>
      <c r="N212" s="6"/>
      <c r="O212" s="6"/>
      <c r="P212" s="5"/>
      <c r="Q212" s="7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6"/>
      <c r="AC212" s="5"/>
    </row>
    <row r="213" spans="1:29" ht="42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6"/>
      <c r="N213" s="6"/>
      <c r="O213" s="6"/>
      <c r="P213" s="5"/>
      <c r="Q213" s="7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6"/>
      <c r="AC213" s="5"/>
    </row>
    <row r="214" spans="1:29" ht="42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6"/>
      <c r="N214" s="6"/>
      <c r="O214" s="6"/>
      <c r="P214" s="5"/>
      <c r="Q214" s="7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6"/>
      <c r="AC214" s="5"/>
    </row>
    <row r="215" spans="1:29" ht="42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6"/>
      <c r="N215" s="6"/>
      <c r="O215" s="6"/>
      <c r="P215" s="5"/>
      <c r="Q215" s="7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6"/>
      <c r="AC215" s="5"/>
    </row>
    <row r="216" spans="1:29" ht="42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6"/>
      <c r="N216" s="6"/>
      <c r="O216" s="6"/>
      <c r="P216" s="5"/>
      <c r="Q216" s="7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6"/>
      <c r="AC216" s="5"/>
    </row>
    <row r="217" spans="1:29" ht="42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6"/>
      <c r="N217" s="6"/>
      <c r="O217" s="6"/>
      <c r="P217" s="5"/>
      <c r="Q217" s="7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6"/>
      <c r="AC217" s="5"/>
    </row>
    <row r="218" spans="1:29" ht="42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6"/>
      <c r="N218" s="6"/>
      <c r="O218" s="6"/>
      <c r="P218" s="5"/>
      <c r="Q218" s="7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6"/>
      <c r="AC218" s="5"/>
    </row>
    <row r="219" spans="1:29" ht="42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6"/>
      <c r="N219" s="6"/>
      <c r="O219" s="6"/>
      <c r="P219" s="5"/>
      <c r="Q219" s="7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6"/>
      <c r="AC219" s="5"/>
    </row>
    <row r="220" spans="1:29" ht="42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6"/>
      <c r="N220" s="6"/>
      <c r="O220" s="6"/>
      <c r="P220" s="5"/>
      <c r="Q220" s="7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6"/>
      <c r="AC220" s="5"/>
    </row>
    <row r="221" spans="1:29" ht="42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6"/>
      <c r="N221" s="6"/>
      <c r="O221" s="6"/>
      <c r="P221" s="5"/>
      <c r="Q221" s="7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6"/>
      <c r="AC221" s="5"/>
    </row>
    <row r="222" spans="1:29" ht="42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6"/>
      <c r="N222" s="6"/>
      <c r="O222" s="6"/>
      <c r="P222" s="5"/>
      <c r="Q222" s="7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6"/>
      <c r="AC222" s="5"/>
    </row>
    <row r="223" spans="1:29" ht="42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6"/>
      <c r="N223" s="6"/>
      <c r="O223" s="6"/>
      <c r="P223" s="5"/>
      <c r="Q223" s="7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6"/>
      <c r="AC223" s="5"/>
    </row>
    <row r="224" spans="1:29" ht="42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6"/>
      <c r="N224" s="6"/>
      <c r="O224" s="6"/>
      <c r="P224" s="5"/>
      <c r="Q224" s="7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6"/>
      <c r="AC224" s="5"/>
    </row>
    <row r="225" spans="1:29" ht="42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6"/>
      <c r="N225" s="6"/>
      <c r="O225" s="6"/>
      <c r="P225" s="5"/>
      <c r="Q225" s="7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6"/>
      <c r="AC225" s="5"/>
    </row>
    <row r="226" spans="1:29" ht="42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6"/>
      <c r="N226" s="6"/>
      <c r="O226" s="6"/>
      <c r="P226" s="5"/>
      <c r="Q226" s="7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6"/>
      <c r="AC226" s="5"/>
    </row>
    <row r="227" spans="1:29" ht="42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6"/>
      <c r="N227" s="6"/>
      <c r="O227" s="6"/>
      <c r="P227" s="5"/>
      <c r="Q227" s="7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6"/>
      <c r="AC227" s="5"/>
    </row>
    <row r="228" spans="1:29" ht="42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6"/>
      <c r="N228" s="6"/>
      <c r="O228" s="6"/>
      <c r="P228" s="5"/>
      <c r="Q228" s="7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6"/>
      <c r="AC228" s="5"/>
    </row>
    <row r="229" spans="1:29" ht="42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6"/>
      <c r="N229" s="6"/>
      <c r="O229" s="6"/>
      <c r="P229" s="5"/>
      <c r="Q229" s="7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6"/>
      <c r="AC229" s="5"/>
    </row>
    <row r="230" spans="1:29" ht="42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6"/>
      <c r="N230" s="6"/>
      <c r="O230" s="6"/>
      <c r="P230" s="5"/>
      <c r="Q230" s="7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6"/>
      <c r="AC230" s="5"/>
    </row>
    <row r="231" spans="1:29" ht="42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6"/>
      <c r="N231" s="6"/>
      <c r="O231" s="6"/>
      <c r="P231" s="5"/>
      <c r="Q231" s="7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6"/>
      <c r="AC231" s="5"/>
    </row>
    <row r="232" spans="1:29" ht="42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6"/>
      <c r="N232" s="6"/>
      <c r="O232" s="6"/>
      <c r="P232" s="5"/>
      <c r="Q232" s="7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6"/>
      <c r="AC232" s="5"/>
    </row>
    <row r="233" spans="1:29" ht="42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6"/>
      <c r="N233" s="6"/>
      <c r="O233" s="6"/>
      <c r="P233" s="5"/>
      <c r="Q233" s="7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6"/>
      <c r="AC233" s="5"/>
    </row>
    <row r="234" spans="1:29" ht="42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6"/>
      <c r="N234" s="6"/>
      <c r="O234" s="6"/>
      <c r="P234" s="5"/>
      <c r="Q234" s="7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6"/>
      <c r="AC234" s="5"/>
    </row>
    <row r="235" spans="1:29" ht="42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6"/>
      <c r="N235" s="6"/>
      <c r="O235" s="6"/>
      <c r="P235" s="5"/>
      <c r="Q235" s="7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6"/>
      <c r="AC235" s="5"/>
    </row>
    <row r="236" spans="1:29" ht="42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6"/>
      <c r="N236" s="6"/>
      <c r="O236" s="6"/>
      <c r="P236" s="5"/>
      <c r="Q236" s="7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6"/>
      <c r="AC236" s="5"/>
    </row>
    <row r="237" spans="1:29" ht="42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6"/>
      <c r="N237" s="6"/>
      <c r="O237" s="6"/>
      <c r="P237" s="5"/>
      <c r="Q237" s="7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6"/>
      <c r="AC237" s="5"/>
    </row>
    <row r="238" spans="1:29" ht="42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6"/>
      <c r="N238" s="6"/>
      <c r="O238" s="6"/>
      <c r="P238" s="5"/>
      <c r="Q238" s="7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6"/>
      <c r="AC238" s="5"/>
    </row>
    <row r="239" spans="1:29" ht="42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6"/>
      <c r="N239" s="6"/>
      <c r="O239" s="6"/>
      <c r="P239" s="5"/>
      <c r="Q239" s="7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6"/>
      <c r="AC239" s="5"/>
    </row>
    <row r="240" spans="1:29" ht="42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6"/>
      <c r="N240" s="6"/>
      <c r="O240" s="6"/>
      <c r="P240" s="5"/>
      <c r="Q240" s="7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6"/>
      <c r="AC240" s="5"/>
    </row>
    <row r="241" spans="1:29" ht="42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6"/>
      <c r="N241" s="6"/>
      <c r="O241" s="6"/>
      <c r="P241" s="5"/>
      <c r="Q241" s="7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6"/>
      <c r="AC241" s="5"/>
    </row>
    <row r="242" spans="1:29" ht="42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6"/>
      <c r="N242" s="6"/>
      <c r="O242" s="6"/>
      <c r="P242" s="5"/>
      <c r="Q242" s="7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6"/>
      <c r="AC242" s="5"/>
    </row>
    <row r="243" spans="1:29" ht="42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6"/>
      <c r="N243" s="6"/>
      <c r="O243" s="6"/>
      <c r="P243" s="5"/>
      <c r="Q243" s="7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6"/>
      <c r="AC243" s="5"/>
    </row>
    <row r="244" spans="1:29" ht="42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6"/>
      <c r="N244" s="6"/>
      <c r="O244" s="6"/>
      <c r="P244" s="5"/>
      <c r="Q244" s="7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6"/>
      <c r="AC244" s="5"/>
    </row>
    <row r="245" spans="1:29" ht="42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6"/>
      <c r="N245" s="6"/>
      <c r="O245" s="6"/>
      <c r="P245" s="5"/>
      <c r="Q245" s="7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6"/>
      <c r="AC245" s="5"/>
    </row>
    <row r="246" spans="1:29" ht="42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6"/>
      <c r="N246" s="6"/>
      <c r="O246" s="6"/>
      <c r="P246" s="5"/>
      <c r="Q246" s="7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6"/>
      <c r="AC246" s="5"/>
    </row>
    <row r="247" spans="1:29" ht="42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6"/>
      <c r="N247" s="6"/>
      <c r="O247" s="6"/>
      <c r="P247" s="5"/>
      <c r="Q247" s="7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6"/>
      <c r="AC247" s="5"/>
    </row>
    <row r="248" spans="1:29" ht="42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6"/>
      <c r="N248" s="6"/>
      <c r="O248" s="6"/>
      <c r="P248" s="5"/>
      <c r="Q248" s="7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6"/>
      <c r="AC248" s="5"/>
    </row>
    <row r="249" spans="1:29" ht="42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6"/>
      <c r="N249" s="6"/>
      <c r="O249" s="6"/>
      <c r="P249" s="5"/>
      <c r="Q249" s="7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6"/>
      <c r="AC249" s="5"/>
    </row>
    <row r="250" spans="1:29" ht="42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6"/>
      <c r="N250" s="6"/>
      <c r="O250" s="6"/>
      <c r="P250" s="5"/>
      <c r="Q250" s="7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6"/>
      <c r="AC250" s="5"/>
    </row>
    <row r="251" spans="1:29" ht="42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6"/>
      <c r="N251" s="6"/>
      <c r="O251" s="6"/>
      <c r="P251" s="5"/>
      <c r="Q251" s="7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6"/>
      <c r="AC251" s="5"/>
    </row>
    <row r="252" spans="1:29" ht="42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6"/>
      <c r="N252" s="6"/>
      <c r="O252" s="6"/>
      <c r="P252" s="5"/>
      <c r="Q252" s="7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6"/>
      <c r="AC252" s="5"/>
    </row>
    <row r="253" spans="1:29" ht="42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6"/>
      <c r="N253" s="6"/>
      <c r="O253" s="6"/>
      <c r="P253" s="5"/>
      <c r="Q253" s="7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6"/>
      <c r="AC253" s="5"/>
    </row>
    <row r="254" spans="1:29" ht="42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6"/>
      <c r="N254" s="6"/>
      <c r="O254" s="6"/>
      <c r="P254" s="5"/>
      <c r="Q254" s="7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6"/>
      <c r="AC254" s="5"/>
    </row>
    <row r="255" spans="1:29" ht="42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6"/>
      <c r="N255" s="6"/>
      <c r="O255" s="6"/>
      <c r="P255" s="5"/>
      <c r="Q255" s="7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6"/>
      <c r="AC255" s="5"/>
    </row>
    <row r="256" spans="1:29" ht="42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6"/>
      <c r="N256" s="6"/>
      <c r="O256" s="6"/>
      <c r="P256" s="5"/>
      <c r="Q256" s="7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6"/>
      <c r="AC256" s="5"/>
    </row>
    <row r="257" spans="1:29" ht="42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6"/>
      <c r="N257" s="6"/>
      <c r="O257" s="6"/>
      <c r="P257" s="5"/>
      <c r="Q257" s="7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6"/>
      <c r="AC257" s="5"/>
    </row>
    <row r="258" spans="1:29" ht="42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6"/>
      <c r="N258" s="6"/>
      <c r="O258" s="6"/>
      <c r="P258" s="5"/>
      <c r="Q258" s="7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6"/>
      <c r="AC258" s="5"/>
    </row>
    <row r="259" spans="1:29" ht="42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6"/>
      <c r="N259" s="6"/>
      <c r="O259" s="6"/>
      <c r="P259" s="5"/>
      <c r="Q259" s="7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6"/>
      <c r="AC259" s="5"/>
    </row>
    <row r="260" spans="1:29" ht="42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6"/>
      <c r="N260" s="6"/>
      <c r="O260" s="6"/>
      <c r="P260" s="5"/>
      <c r="Q260" s="7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6"/>
      <c r="AC260" s="5"/>
    </row>
    <row r="261" spans="1:29" ht="42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6"/>
      <c r="N261" s="6"/>
      <c r="O261" s="6"/>
      <c r="P261" s="5"/>
      <c r="Q261" s="7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6"/>
      <c r="AC261" s="5"/>
    </row>
    <row r="262" spans="1:29" ht="42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6"/>
      <c r="N262" s="6"/>
      <c r="O262" s="6"/>
      <c r="P262" s="5"/>
      <c r="Q262" s="7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6"/>
      <c r="AC262" s="5"/>
    </row>
    <row r="263" spans="1:29" ht="42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6"/>
      <c r="N263" s="6"/>
      <c r="O263" s="6"/>
      <c r="P263" s="5"/>
      <c r="Q263" s="7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6"/>
      <c r="AC263" s="5"/>
    </row>
    <row r="264" spans="1:29" ht="42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6"/>
      <c r="N264" s="6"/>
      <c r="O264" s="6"/>
      <c r="P264" s="5"/>
      <c r="Q264" s="7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6"/>
      <c r="AC264" s="5"/>
    </row>
    <row r="265" spans="1:29" ht="42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6"/>
      <c r="N265" s="6"/>
      <c r="O265" s="6"/>
      <c r="P265" s="5"/>
      <c r="Q265" s="7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6"/>
      <c r="AC265" s="5"/>
    </row>
    <row r="266" spans="1:29" ht="42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6"/>
      <c r="N266" s="6"/>
      <c r="O266" s="6"/>
      <c r="P266" s="5"/>
      <c r="Q266" s="7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6"/>
      <c r="AC266" s="5"/>
    </row>
    <row r="267" spans="1:29" ht="42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6"/>
      <c r="N267" s="6"/>
      <c r="O267" s="6"/>
      <c r="P267" s="5"/>
      <c r="Q267" s="7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6"/>
      <c r="AC267" s="5"/>
    </row>
    <row r="268" spans="1:29" ht="42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6"/>
      <c r="N268" s="6"/>
      <c r="O268" s="6"/>
      <c r="P268" s="5"/>
      <c r="Q268" s="7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6"/>
      <c r="AC268" s="5"/>
    </row>
    <row r="269" spans="1:29" ht="42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6"/>
      <c r="N269" s="6"/>
      <c r="O269" s="6"/>
      <c r="P269" s="5"/>
      <c r="Q269" s="7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6"/>
      <c r="AC269" s="5"/>
    </row>
    <row r="270" spans="1:29" ht="42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6"/>
      <c r="N270" s="6"/>
      <c r="O270" s="6"/>
      <c r="P270" s="5"/>
      <c r="Q270" s="7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6"/>
      <c r="AC270" s="5"/>
    </row>
    <row r="271" spans="1:29" ht="42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6"/>
      <c r="N271" s="6"/>
      <c r="O271" s="6"/>
      <c r="P271" s="5"/>
      <c r="Q271" s="7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6"/>
      <c r="AC271" s="5"/>
    </row>
    <row r="272" spans="1:29" ht="42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6"/>
      <c r="N272" s="6"/>
      <c r="O272" s="6"/>
      <c r="P272" s="5"/>
      <c r="Q272" s="7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6"/>
      <c r="AC272" s="5"/>
    </row>
    <row r="273" spans="1:29" ht="42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6"/>
      <c r="N273" s="6"/>
      <c r="O273" s="6"/>
      <c r="P273" s="5"/>
      <c r="Q273" s="7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6"/>
      <c r="AC273" s="5"/>
    </row>
    <row r="274" spans="1:29" ht="42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6"/>
      <c r="N274" s="6"/>
      <c r="O274" s="6"/>
      <c r="P274" s="5"/>
      <c r="Q274" s="7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6"/>
      <c r="AC274" s="5"/>
    </row>
    <row r="275" spans="1:29" ht="42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6"/>
      <c r="N275" s="6"/>
      <c r="O275" s="6"/>
      <c r="P275" s="5"/>
      <c r="Q275" s="7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6"/>
      <c r="AC275" s="5"/>
    </row>
    <row r="276" spans="1:29" ht="42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6"/>
      <c r="N276" s="6"/>
      <c r="O276" s="6"/>
      <c r="P276" s="5"/>
      <c r="Q276" s="7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6"/>
      <c r="AC276" s="5"/>
    </row>
    <row r="277" spans="1:29" ht="42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6"/>
      <c r="N277" s="6"/>
      <c r="O277" s="6"/>
      <c r="P277" s="5"/>
      <c r="Q277" s="7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6"/>
      <c r="AC277" s="5"/>
    </row>
    <row r="278" spans="1:29" ht="42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6"/>
      <c r="N278" s="6"/>
      <c r="O278" s="6"/>
      <c r="P278" s="5"/>
      <c r="Q278" s="7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6"/>
      <c r="AC278" s="5"/>
    </row>
    <row r="279" spans="1:29" ht="42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6"/>
      <c r="N279" s="6"/>
      <c r="O279" s="6"/>
      <c r="P279" s="5"/>
      <c r="Q279" s="7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6"/>
      <c r="AC279" s="5"/>
    </row>
    <row r="280" spans="1:29" ht="42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6"/>
      <c r="N280" s="6"/>
      <c r="O280" s="6"/>
      <c r="P280" s="5"/>
      <c r="Q280" s="7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6"/>
      <c r="AC280" s="5"/>
    </row>
    <row r="281" spans="1:29" ht="42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6"/>
      <c r="N281" s="6"/>
      <c r="O281" s="6"/>
      <c r="P281" s="5"/>
      <c r="Q281" s="7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6"/>
      <c r="AC281" s="5"/>
    </row>
    <row r="282" spans="1:29" ht="42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6"/>
      <c r="N282" s="6"/>
      <c r="O282" s="6"/>
      <c r="P282" s="5"/>
      <c r="Q282" s="7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6"/>
      <c r="AC282" s="5"/>
    </row>
    <row r="283" spans="1:29" ht="42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6"/>
      <c r="N283" s="6"/>
      <c r="O283" s="6"/>
      <c r="P283" s="5"/>
      <c r="Q283" s="7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6"/>
      <c r="AC283" s="5"/>
    </row>
    <row r="284" spans="1:29" ht="42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6"/>
      <c r="N284" s="6"/>
      <c r="O284" s="6"/>
      <c r="P284" s="5"/>
      <c r="Q284" s="7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6"/>
      <c r="AC284" s="5"/>
    </row>
    <row r="285" spans="1:29" ht="42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6"/>
      <c r="N285" s="6"/>
      <c r="O285" s="6"/>
      <c r="P285" s="5"/>
      <c r="Q285" s="7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6"/>
      <c r="AC285" s="5"/>
    </row>
    <row r="286" spans="1:29" ht="42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6"/>
      <c r="N286" s="6"/>
      <c r="O286" s="6"/>
      <c r="P286" s="5"/>
      <c r="Q286" s="7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6"/>
      <c r="AC286" s="5"/>
    </row>
    <row r="287" spans="1:29" ht="42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6"/>
      <c r="N287" s="6"/>
      <c r="O287" s="6"/>
      <c r="P287" s="5"/>
      <c r="Q287" s="7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6"/>
      <c r="AC287" s="5"/>
    </row>
    <row r="288" spans="1:29" ht="42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6"/>
      <c r="N288" s="6"/>
      <c r="O288" s="6"/>
      <c r="P288" s="5"/>
      <c r="Q288" s="7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6"/>
      <c r="AC288" s="5"/>
    </row>
    <row r="289" spans="1:29" ht="42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6"/>
      <c r="N289" s="6"/>
      <c r="O289" s="6"/>
      <c r="P289" s="5"/>
      <c r="Q289" s="7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6"/>
      <c r="AC289" s="5"/>
    </row>
    <row r="290" spans="1:29" ht="42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6"/>
      <c r="N290" s="6"/>
      <c r="O290" s="6"/>
      <c r="P290" s="5"/>
      <c r="Q290" s="7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6"/>
      <c r="AC290" s="5"/>
    </row>
    <row r="291" spans="1:29" ht="42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6"/>
      <c r="N291" s="6"/>
      <c r="O291" s="6"/>
      <c r="P291" s="5"/>
      <c r="Q291" s="7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6"/>
      <c r="AC291" s="5"/>
    </row>
    <row r="292" spans="1:29" ht="42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6"/>
      <c r="N292" s="6"/>
      <c r="O292" s="6"/>
      <c r="P292" s="5"/>
      <c r="Q292" s="7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6"/>
      <c r="AC292" s="5"/>
    </row>
    <row r="293" spans="1:29" ht="42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6"/>
      <c r="N293" s="6"/>
      <c r="O293" s="6"/>
      <c r="P293" s="5"/>
      <c r="Q293" s="7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6"/>
      <c r="AC293" s="5"/>
    </row>
    <row r="294" spans="1:29" ht="42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6"/>
      <c r="N294" s="6"/>
      <c r="O294" s="6"/>
      <c r="P294" s="5"/>
      <c r="Q294" s="7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6"/>
      <c r="AC294" s="5"/>
    </row>
    <row r="295" spans="1:29" ht="42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6"/>
      <c r="N295" s="6"/>
      <c r="O295" s="6"/>
      <c r="P295" s="5"/>
      <c r="Q295" s="7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6"/>
      <c r="AC295" s="5"/>
    </row>
    <row r="296" spans="1:29" ht="42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6"/>
      <c r="N296" s="6"/>
      <c r="O296" s="6"/>
      <c r="P296" s="5"/>
      <c r="Q296" s="7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6"/>
      <c r="AC296" s="5"/>
    </row>
    <row r="297" spans="1:29" ht="42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6"/>
      <c r="N297" s="6"/>
      <c r="O297" s="6"/>
      <c r="P297" s="5"/>
      <c r="Q297" s="7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6"/>
      <c r="AC297" s="5"/>
    </row>
    <row r="298" spans="1:29" ht="42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6"/>
      <c r="N298" s="6"/>
      <c r="O298" s="6"/>
      <c r="P298" s="5"/>
      <c r="Q298" s="7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6"/>
      <c r="AC298" s="5"/>
    </row>
    <row r="299" spans="1:29" ht="42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6"/>
      <c r="N299" s="6"/>
      <c r="O299" s="6"/>
      <c r="P299" s="5"/>
      <c r="Q299" s="7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6"/>
      <c r="AC299" s="5"/>
    </row>
    <row r="300" spans="1:29" ht="42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6"/>
      <c r="N300" s="6"/>
      <c r="O300" s="6"/>
      <c r="P300" s="5"/>
      <c r="Q300" s="7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6"/>
      <c r="AC300" s="5"/>
    </row>
  </sheetData>
  <phoneticPr fontId="5" type="noConversion"/>
  <conditionalFormatting sqref="A2:AC300">
    <cfRule type="expression" dxfId="14" priority="1">
      <formula>$C2="拟录取"</formula>
    </cfRule>
    <cfRule type="expression" dxfId="13" priority="2">
      <formula>$C2="未通过"</formula>
    </cfRule>
    <cfRule type="expression" dxfId="12" priority="3">
      <formula>$C2="已报名"</formula>
    </cfRule>
    <cfRule type="expression" dxfId="11" priority="4">
      <formula>$C2="准备材料"</formula>
    </cfRule>
    <cfRule type="expression" dxfId="10" priority="5">
      <formula>$C2="待关注"</formula>
    </cfRule>
  </conditionalFormatting>
  <conditionalFormatting sqref="Q2:Q300">
    <cfRule type="cellIs" dxfId="9" priority="6" operator="lessThan">
      <formula>0.5</formula>
    </cfRule>
  </conditionalFormatting>
  <conditionalFormatting sqref="AB2:AB300">
    <cfRule type="expression" dxfId="8" priority="7">
      <formula>AND($AB2&lt;&gt;"",$AB2&lt;=TODAY()+7)</formula>
    </cfRule>
  </conditionalFormatting>
  <dataValidations count="1">
    <dataValidation type="decimal" allowBlank="1" promptTitle="材料完成度" prompt="请输入 0-1 的小数，或百分比格式，例如 0.8 / 80%" sqref="Q2:Q300" xr:uid="{00000000-0002-0000-0100-000008000000}">
      <formula1>0</formula1>
      <formula2>1</formula2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00000000-0002-0000-0100-000000000000}">
          <x14:formula1>
            <xm:f>选项!$A$2:$A$5</xm:f>
          </x14:formula1>
          <xm:sqref>B2:B300</xm:sqref>
        </x14:dataValidation>
        <x14:dataValidation type="list" allowBlank="1" xr:uid="{00000000-0002-0000-0100-000001000000}">
          <x14:formula1>
            <xm:f>选项!$B$2:$B$10</xm:f>
          </x14:formula1>
          <xm:sqref>C2:C300</xm:sqref>
        </x14:dataValidation>
        <x14:dataValidation type="list" allowBlank="1" xr:uid="{00000000-0002-0000-0100-000002000000}">
          <x14:formula1>
            <xm:f>选项!$C$2:$C$8</xm:f>
          </x14:formula1>
          <xm:sqref>H2:H300</xm:sqref>
        </x14:dataValidation>
        <x14:dataValidation type="list" allowBlank="1" xr:uid="{00000000-0002-0000-0100-000003000000}">
          <x14:formula1>
            <xm:f>选项!$D$2:$D$5</xm:f>
          </x14:formula1>
          <xm:sqref>J2:J300</xm:sqref>
        </x14:dataValidation>
        <x14:dataValidation type="list" allowBlank="1" xr:uid="{00000000-0002-0000-0100-000004000000}">
          <x14:formula1>
            <xm:f>选项!$E$2:$E$6</xm:f>
          </x14:formula1>
          <xm:sqref>K2:K300</xm:sqref>
        </x14:dataValidation>
        <x14:dataValidation type="list" allowBlank="1" xr:uid="{00000000-0002-0000-0100-000005000000}">
          <x14:formula1>
            <xm:f>选项!$F$2:$F$6</xm:f>
          </x14:formula1>
          <xm:sqref>L2:L300</xm:sqref>
        </x14:dataValidation>
        <x14:dataValidation type="list" allowBlank="1" xr:uid="{00000000-0002-0000-0100-000006000000}">
          <x14:formula1>
            <xm:f>选项!$G$2:$G$8</xm:f>
          </x14:formula1>
          <xm:sqref>R2:R300</xm:sqref>
        </x14:dataValidation>
        <x14:dataValidation type="list" allowBlank="1" xr:uid="{00000000-0002-0000-0100-000007000000}">
          <x14:formula1>
            <xm:f>选项!$H$2:$H$6</xm:f>
          </x14:formula1>
          <xm:sqref>V2:V300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0"/>
  <sheetViews>
    <sheetView showGridLines="0" tabSelected="1" workbookViewId="0">
      <pane xSplit="3" ySplit="1" topLeftCell="D2" activePane="bottomRight" state="frozen"/>
      <selection pane="topRight"/>
      <selection pane="bottomLeft"/>
      <selection pane="bottomRight" activeCell="A13" sqref="A13"/>
    </sheetView>
  </sheetViews>
  <sheetFormatPr defaultRowHeight="14"/>
  <cols>
    <col min="1" max="1" width="7" customWidth="1"/>
    <col min="2" max="2" width="16" customWidth="1"/>
    <col min="3" max="3" width="22" customWidth="1"/>
    <col min="4" max="5" width="14" customWidth="1"/>
    <col min="6" max="6" width="22" customWidth="1"/>
    <col min="7" max="7" width="28" customWidth="1"/>
    <col min="8" max="8" width="22" customWidth="1"/>
    <col min="9" max="9" width="10" customWidth="1"/>
    <col min="10" max="10" width="12" customWidth="1"/>
    <col min="11" max="13" width="13" customWidth="1"/>
    <col min="14" max="15" width="28" customWidth="1"/>
    <col min="16" max="16" width="32" customWidth="1"/>
    <col min="17" max="17" width="12" customWidth="1"/>
    <col min="18" max="18" width="18" customWidth="1"/>
    <col min="19" max="19" width="22" customWidth="1"/>
    <col min="20" max="21" width="28" customWidth="1"/>
    <col min="22" max="22" width="10" customWidth="1"/>
    <col min="23" max="23" width="24" customWidth="1"/>
  </cols>
  <sheetData>
    <row r="1" spans="1:14" ht="34" customHeight="1">
      <c r="A1" s="4" t="s">
        <v>23</v>
      </c>
      <c r="B1" s="4" t="s">
        <v>24</v>
      </c>
      <c r="C1" s="4" t="s">
        <v>25</v>
      </c>
      <c r="D1" s="4" t="s">
        <v>113</v>
      </c>
      <c r="E1" s="4" t="s">
        <v>114</v>
      </c>
      <c r="F1" s="4" t="s">
        <v>115</v>
      </c>
      <c r="G1" s="4" t="s">
        <v>116</v>
      </c>
      <c r="H1" s="4" t="s">
        <v>117</v>
      </c>
      <c r="I1" s="4" t="s">
        <v>118</v>
      </c>
      <c r="J1" s="4" t="s">
        <v>119</v>
      </c>
      <c r="K1" s="4" t="s">
        <v>120</v>
      </c>
      <c r="L1" s="4" t="s">
        <v>121</v>
      </c>
      <c r="M1" s="4" t="s">
        <v>2</v>
      </c>
      <c r="N1" s="4" t="s">
        <v>49</v>
      </c>
    </row>
    <row r="2" spans="1:14" ht="42" customHeight="1">
      <c r="A2" s="5">
        <v>1</v>
      </c>
      <c r="B2" s="5" t="s">
        <v>186</v>
      </c>
      <c r="C2" s="5" t="s">
        <v>187</v>
      </c>
      <c r="D2" s="5" t="s">
        <v>190</v>
      </c>
      <c r="E2" s="5" t="s">
        <v>194</v>
      </c>
      <c r="F2" s="12" t="s">
        <v>193</v>
      </c>
      <c r="G2" s="5" t="s">
        <v>195</v>
      </c>
      <c r="H2" s="6">
        <v>46154</v>
      </c>
      <c r="I2" s="5" t="s">
        <v>123</v>
      </c>
      <c r="J2" s="5" t="s">
        <v>55</v>
      </c>
      <c r="K2" s="5"/>
      <c r="L2" s="5" t="s">
        <v>124</v>
      </c>
      <c r="M2" s="5" t="s">
        <v>6</v>
      </c>
      <c r="N2" s="5" t="s">
        <v>73</v>
      </c>
    </row>
    <row r="3" spans="1:14" ht="42" customHeight="1">
      <c r="A3" s="5">
        <v>2</v>
      </c>
      <c r="B3" s="5" t="s">
        <v>188</v>
      </c>
      <c r="C3" s="5" t="s">
        <v>75</v>
      </c>
      <c r="D3" s="5" t="s">
        <v>189</v>
      </c>
      <c r="E3" s="5" t="s">
        <v>191</v>
      </c>
      <c r="F3" s="12" t="s">
        <v>192</v>
      </c>
      <c r="G3" s="5" t="s">
        <v>195</v>
      </c>
      <c r="H3" s="6">
        <v>46154</v>
      </c>
      <c r="I3" s="5" t="s">
        <v>123</v>
      </c>
      <c r="J3" s="5" t="s">
        <v>55</v>
      </c>
      <c r="K3" s="5"/>
      <c r="L3" s="5" t="s">
        <v>126</v>
      </c>
      <c r="M3" s="5" t="s">
        <v>12</v>
      </c>
      <c r="N3" s="5" t="s">
        <v>73</v>
      </c>
    </row>
    <row r="4" spans="1:14" ht="42" customHeight="1">
      <c r="A4" s="5">
        <v>3</v>
      </c>
      <c r="B4" s="5" t="s">
        <v>196</v>
      </c>
      <c r="C4" s="5" t="s">
        <v>197</v>
      </c>
      <c r="D4" s="5" t="s">
        <v>199</v>
      </c>
      <c r="E4" s="5" t="s">
        <v>200</v>
      </c>
      <c r="F4" s="12" t="s">
        <v>198</v>
      </c>
      <c r="G4" s="5" t="s">
        <v>201</v>
      </c>
      <c r="H4" s="6">
        <v>46154</v>
      </c>
      <c r="I4" s="5" t="s">
        <v>123</v>
      </c>
      <c r="J4" s="5" t="s">
        <v>55</v>
      </c>
      <c r="K4" s="5"/>
      <c r="L4" s="5"/>
      <c r="M4" s="5"/>
      <c r="N4" s="5"/>
    </row>
    <row r="5" spans="1:14" ht="42" customHeight="1">
      <c r="A5" s="5">
        <v>4</v>
      </c>
      <c r="B5" s="5" t="s">
        <v>204</v>
      </c>
      <c r="C5" s="5" t="s">
        <v>203</v>
      </c>
      <c r="D5" s="5" t="s">
        <v>202</v>
      </c>
      <c r="E5" s="5" t="s">
        <v>205</v>
      </c>
      <c r="F5" s="12" t="s">
        <v>206</v>
      </c>
      <c r="G5" s="5" t="s">
        <v>211</v>
      </c>
      <c r="H5" s="6">
        <v>46155</v>
      </c>
      <c r="I5" s="5" t="s">
        <v>123</v>
      </c>
      <c r="J5" s="5" t="s">
        <v>55</v>
      </c>
      <c r="K5" s="5"/>
      <c r="L5" s="5"/>
      <c r="M5" s="5"/>
      <c r="N5" s="5"/>
    </row>
    <row r="6" spans="1:14" ht="42" customHeight="1">
      <c r="A6" s="5">
        <v>5</v>
      </c>
      <c r="B6" s="5" t="s">
        <v>207</v>
      </c>
      <c r="C6" s="5" t="s">
        <v>208</v>
      </c>
      <c r="D6" s="5" t="s">
        <v>209</v>
      </c>
      <c r="E6" s="5" t="s">
        <v>210</v>
      </c>
      <c r="F6" s="15" t="s">
        <v>212</v>
      </c>
      <c r="G6" s="5" t="s">
        <v>211</v>
      </c>
      <c r="H6" s="6">
        <v>46155</v>
      </c>
      <c r="I6" s="5" t="s">
        <v>123</v>
      </c>
      <c r="J6" s="5" t="s">
        <v>55</v>
      </c>
      <c r="K6" s="5"/>
      <c r="L6" s="5"/>
      <c r="M6" s="5"/>
      <c r="N6" s="5"/>
    </row>
    <row r="7" spans="1:14" ht="42" customHeight="1">
      <c r="A7" s="5">
        <v>6</v>
      </c>
      <c r="B7" s="5" t="s">
        <v>213</v>
      </c>
      <c r="C7" s="5" t="s">
        <v>214</v>
      </c>
      <c r="D7" s="5" t="s">
        <v>215</v>
      </c>
      <c r="E7" s="5" t="s">
        <v>216</v>
      </c>
      <c r="F7" s="12" t="s">
        <v>229</v>
      </c>
      <c r="G7" s="5" t="s">
        <v>211</v>
      </c>
      <c r="H7" s="6">
        <v>46155</v>
      </c>
      <c r="I7" s="5" t="s">
        <v>123</v>
      </c>
      <c r="J7" s="5" t="s">
        <v>55</v>
      </c>
      <c r="K7" s="5"/>
      <c r="L7" s="5"/>
      <c r="M7" s="5"/>
      <c r="N7" s="5"/>
    </row>
    <row r="8" spans="1:14" ht="42" customHeight="1">
      <c r="A8" s="5">
        <v>7</v>
      </c>
      <c r="B8" s="5" t="s">
        <v>196</v>
      </c>
      <c r="C8" s="5" t="s">
        <v>236</v>
      </c>
      <c r="D8" s="13" t="s">
        <v>217</v>
      </c>
      <c r="E8" s="14" t="s">
        <v>218</v>
      </c>
      <c r="F8" s="15" t="s">
        <v>224</v>
      </c>
      <c r="G8" s="5" t="s">
        <v>211</v>
      </c>
      <c r="H8" s="6">
        <v>46155</v>
      </c>
      <c r="I8" s="5" t="s">
        <v>123</v>
      </c>
      <c r="J8" s="5" t="s">
        <v>55</v>
      </c>
      <c r="K8" s="5"/>
      <c r="L8" s="5"/>
      <c r="M8" s="5"/>
      <c r="N8" s="5"/>
    </row>
    <row r="9" spans="1:14" ht="42" customHeight="1">
      <c r="A9" s="5">
        <v>8</v>
      </c>
      <c r="B9" s="5" t="s">
        <v>219</v>
      </c>
      <c r="C9" s="5" t="s">
        <v>220</v>
      </c>
      <c r="D9" s="5" t="s">
        <v>221</v>
      </c>
      <c r="E9" s="5" t="s">
        <v>222</v>
      </c>
      <c r="F9" s="15" t="s">
        <v>223</v>
      </c>
      <c r="G9" s="5" t="s">
        <v>201</v>
      </c>
      <c r="H9" s="6">
        <v>46155</v>
      </c>
      <c r="I9" s="5" t="s">
        <v>123</v>
      </c>
      <c r="J9" s="5" t="s">
        <v>55</v>
      </c>
      <c r="K9" s="5"/>
      <c r="L9" s="5"/>
      <c r="M9" s="5"/>
      <c r="N9" s="5"/>
    </row>
    <row r="10" spans="1:14" ht="42" customHeight="1">
      <c r="A10" s="5">
        <v>9</v>
      </c>
      <c r="B10" s="5" t="s">
        <v>227</v>
      </c>
      <c r="C10" s="5" t="s">
        <v>228</v>
      </c>
      <c r="D10" s="5" t="s">
        <v>226</v>
      </c>
      <c r="E10" s="5" t="s">
        <v>218</v>
      </c>
      <c r="F10" s="12" t="s">
        <v>225</v>
      </c>
      <c r="G10" s="5" t="s">
        <v>201</v>
      </c>
      <c r="H10" s="6">
        <v>46155</v>
      </c>
      <c r="I10" s="5" t="s">
        <v>123</v>
      </c>
      <c r="J10" s="5" t="s">
        <v>55</v>
      </c>
      <c r="K10" s="5"/>
      <c r="L10" s="5"/>
      <c r="M10" s="5"/>
      <c r="N10" s="5"/>
    </row>
    <row r="11" spans="1:14" ht="42" customHeight="1">
      <c r="A11" s="5">
        <v>10</v>
      </c>
      <c r="B11" s="5" t="s">
        <v>230</v>
      </c>
      <c r="C11" s="5" t="s">
        <v>231</v>
      </c>
      <c r="D11" s="5" t="s">
        <v>232</v>
      </c>
      <c r="E11" s="5" t="s">
        <v>234</v>
      </c>
      <c r="F11" s="15" t="s">
        <v>233</v>
      </c>
      <c r="G11" s="5" t="s">
        <v>235</v>
      </c>
      <c r="H11" s="6">
        <v>46156</v>
      </c>
      <c r="I11" s="5" t="s">
        <v>123</v>
      </c>
      <c r="J11" s="5" t="s">
        <v>55</v>
      </c>
      <c r="K11" s="5"/>
      <c r="L11" s="5"/>
      <c r="M11" s="5"/>
      <c r="N11" s="5"/>
    </row>
    <row r="12" spans="1:14" ht="42" customHeight="1">
      <c r="A12" s="5">
        <v>11</v>
      </c>
      <c r="B12" s="5" t="s">
        <v>230</v>
      </c>
      <c r="C12" s="5" t="s">
        <v>237</v>
      </c>
      <c r="D12" s="5" t="s">
        <v>238</v>
      </c>
      <c r="E12" s="5" t="s">
        <v>239</v>
      </c>
      <c r="F12" s="12" t="s">
        <v>240</v>
      </c>
      <c r="G12" s="5" t="s">
        <v>125</v>
      </c>
      <c r="H12" s="6">
        <v>46156</v>
      </c>
      <c r="I12" s="5" t="s">
        <v>123</v>
      </c>
      <c r="J12" s="5" t="s">
        <v>55</v>
      </c>
      <c r="K12" s="5"/>
      <c r="L12" s="5"/>
      <c r="M12" s="5"/>
      <c r="N12" s="5"/>
    </row>
    <row r="13" spans="1:14" ht="42" customHeight="1">
      <c r="A13" s="5"/>
      <c r="B13" s="5"/>
      <c r="C13" s="5"/>
      <c r="D13" s="5"/>
      <c r="E13" s="5"/>
      <c r="F13" s="5"/>
      <c r="G13" s="5"/>
      <c r="H13" s="6"/>
      <c r="I13" s="5"/>
      <c r="J13" s="5"/>
      <c r="K13" s="5"/>
      <c r="L13" s="5"/>
      <c r="M13" s="5"/>
      <c r="N13" s="5"/>
    </row>
    <row r="14" spans="1:14" ht="42" customHeight="1">
      <c r="A14" s="5"/>
      <c r="B14" s="5"/>
      <c r="C14" s="5"/>
      <c r="D14" s="5"/>
      <c r="E14" s="5"/>
      <c r="F14" s="5"/>
      <c r="G14" s="5"/>
      <c r="H14" s="6"/>
      <c r="I14" s="5"/>
      <c r="J14" s="5"/>
      <c r="K14" s="5"/>
      <c r="L14" s="5"/>
      <c r="M14" s="5"/>
      <c r="N14" s="5"/>
    </row>
    <row r="15" spans="1:14" ht="42" customHeight="1">
      <c r="A15" s="5"/>
      <c r="B15" s="5"/>
      <c r="C15" s="5"/>
      <c r="D15" s="5"/>
      <c r="E15" s="5"/>
      <c r="F15" s="5"/>
      <c r="G15" s="5"/>
      <c r="H15" s="6"/>
      <c r="I15" s="5"/>
      <c r="J15" s="5"/>
      <c r="K15" s="5"/>
      <c r="L15" s="5"/>
      <c r="M15" s="5"/>
      <c r="N15" s="5"/>
    </row>
    <row r="16" spans="1:14" ht="42" customHeight="1">
      <c r="A16" s="5"/>
      <c r="B16" s="5"/>
      <c r="C16" s="5"/>
      <c r="D16" s="5"/>
      <c r="E16" s="5"/>
      <c r="F16" s="5"/>
      <c r="G16" s="5"/>
      <c r="H16" s="6"/>
      <c r="I16" s="5"/>
      <c r="J16" s="5"/>
      <c r="K16" s="5"/>
      <c r="L16" s="5"/>
      <c r="M16" s="5"/>
      <c r="N16" s="5"/>
    </row>
    <row r="17" spans="1:14" ht="42" customHeight="1">
      <c r="A17" s="5"/>
      <c r="B17" s="5"/>
      <c r="C17" s="5"/>
      <c r="D17" s="5"/>
      <c r="E17" s="5"/>
      <c r="F17" s="5"/>
      <c r="G17" s="5"/>
      <c r="H17" s="6"/>
      <c r="I17" s="5"/>
      <c r="J17" s="5"/>
      <c r="K17" s="5"/>
      <c r="L17" s="5"/>
      <c r="M17" s="5"/>
      <c r="N17" s="5"/>
    </row>
    <row r="18" spans="1:14" ht="42" customHeight="1">
      <c r="A18" s="5"/>
      <c r="B18" s="5"/>
      <c r="C18" s="5"/>
      <c r="D18" s="5"/>
      <c r="E18" s="5"/>
      <c r="F18" s="5"/>
      <c r="G18" s="5"/>
      <c r="H18" s="6"/>
      <c r="I18" s="5"/>
      <c r="J18" s="5"/>
      <c r="K18" s="5"/>
      <c r="L18" s="5"/>
      <c r="M18" s="5"/>
      <c r="N18" s="5"/>
    </row>
    <row r="19" spans="1:14" ht="42" customHeight="1">
      <c r="A19" s="5"/>
      <c r="B19" s="5"/>
      <c r="C19" s="5"/>
      <c r="D19" s="5"/>
      <c r="E19" s="5"/>
      <c r="F19" s="5"/>
      <c r="G19" s="5"/>
      <c r="H19" s="6"/>
      <c r="I19" s="5"/>
      <c r="J19" s="5"/>
      <c r="K19" s="5"/>
      <c r="L19" s="5"/>
      <c r="M19" s="5"/>
      <c r="N19" s="5"/>
    </row>
    <row r="20" spans="1:14" ht="42" customHeight="1">
      <c r="A20" s="5"/>
      <c r="B20" s="5"/>
      <c r="C20" s="5"/>
      <c r="D20" s="5"/>
      <c r="E20" s="5"/>
      <c r="F20" s="5"/>
      <c r="G20" s="5"/>
      <c r="H20" s="6"/>
      <c r="I20" s="5"/>
      <c r="J20" s="5"/>
      <c r="K20" s="5"/>
      <c r="L20" s="5"/>
      <c r="M20" s="5"/>
      <c r="N20" s="5"/>
    </row>
    <row r="21" spans="1:14" ht="42" customHeight="1">
      <c r="A21" s="5"/>
      <c r="B21" s="5"/>
      <c r="C21" s="5"/>
      <c r="D21" s="5"/>
      <c r="E21" s="5"/>
      <c r="F21" s="5"/>
      <c r="G21" s="5"/>
      <c r="H21" s="6"/>
      <c r="I21" s="5"/>
      <c r="J21" s="5"/>
      <c r="K21" s="5"/>
      <c r="L21" s="5"/>
      <c r="M21" s="5"/>
      <c r="N21" s="5"/>
    </row>
    <row r="22" spans="1:14" ht="42" customHeight="1">
      <c r="A22" s="5"/>
      <c r="B22" s="5"/>
      <c r="C22" s="5"/>
      <c r="D22" s="5"/>
      <c r="E22" s="5"/>
      <c r="F22" s="5"/>
      <c r="G22" s="5"/>
      <c r="H22" s="6"/>
      <c r="I22" s="5"/>
      <c r="J22" s="5"/>
      <c r="K22" s="5"/>
      <c r="L22" s="5"/>
      <c r="M22" s="5"/>
      <c r="N22" s="5"/>
    </row>
    <row r="23" spans="1:14" ht="42" customHeight="1">
      <c r="A23" s="5"/>
      <c r="B23" s="5"/>
      <c r="C23" s="5"/>
      <c r="D23" s="5"/>
      <c r="E23" s="5"/>
      <c r="F23" s="5"/>
      <c r="G23" s="5"/>
      <c r="H23" s="6"/>
      <c r="I23" s="5"/>
      <c r="J23" s="5"/>
      <c r="K23" s="5"/>
      <c r="L23" s="5"/>
      <c r="M23" s="5"/>
      <c r="N23" s="5"/>
    </row>
    <row r="24" spans="1:14" ht="42" customHeight="1">
      <c r="A24" s="5"/>
      <c r="B24" s="5"/>
      <c r="C24" s="5"/>
      <c r="D24" s="5"/>
      <c r="E24" s="5"/>
      <c r="F24" s="5"/>
      <c r="G24" s="5"/>
      <c r="H24" s="6"/>
      <c r="I24" s="5"/>
      <c r="J24" s="5"/>
      <c r="K24" s="5"/>
      <c r="L24" s="5"/>
      <c r="M24" s="5"/>
      <c r="N24" s="5"/>
    </row>
    <row r="25" spans="1:14" ht="42" customHeight="1">
      <c r="A25" s="5"/>
      <c r="B25" s="5"/>
      <c r="C25" s="5"/>
      <c r="D25" s="5"/>
      <c r="E25" s="5"/>
      <c r="F25" s="5"/>
      <c r="G25" s="5"/>
      <c r="H25" s="6"/>
      <c r="I25" s="5"/>
      <c r="J25" s="5"/>
      <c r="K25" s="5"/>
      <c r="L25" s="5"/>
      <c r="M25" s="5"/>
      <c r="N25" s="5"/>
    </row>
    <row r="26" spans="1:14" ht="42" customHeight="1">
      <c r="A26" s="5"/>
      <c r="B26" s="5"/>
      <c r="C26" s="5"/>
      <c r="D26" s="5"/>
      <c r="E26" s="5"/>
      <c r="F26" s="5"/>
      <c r="G26" s="5"/>
      <c r="H26" s="6"/>
      <c r="I26" s="5"/>
      <c r="J26" s="5"/>
      <c r="K26" s="5"/>
      <c r="L26" s="5"/>
      <c r="M26" s="5"/>
      <c r="N26" s="5"/>
    </row>
    <row r="27" spans="1:14" ht="42" customHeight="1">
      <c r="A27" s="5"/>
      <c r="B27" s="5"/>
      <c r="C27" s="5"/>
      <c r="D27" s="5"/>
      <c r="E27" s="5"/>
      <c r="F27" s="5"/>
      <c r="G27" s="5"/>
      <c r="H27" s="6"/>
      <c r="I27" s="5"/>
      <c r="J27" s="5"/>
      <c r="K27" s="5"/>
      <c r="L27" s="5"/>
      <c r="M27" s="5"/>
      <c r="N27" s="5"/>
    </row>
    <row r="28" spans="1:14" ht="42" customHeight="1">
      <c r="A28" s="5"/>
      <c r="B28" s="5"/>
      <c r="C28" s="5"/>
      <c r="D28" s="5"/>
      <c r="E28" s="5"/>
      <c r="F28" s="5"/>
      <c r="G28" s="5"/>
      <c r="H28" s="6"/>
      <c r="I28" s="5"/>
      <c r="J28" s="5"/>
      <c r="K28" s="5"/>
      <c r="L28" s="5"/>
      <c r="M28" s="5"/>
      <c r="N28" s="5"/>
    </row>
    <row r="29" spans="1:14" ht="42" customHeight="1">
      <c r="A29" s="5"/>
      <c r="B29" s="5"/>
      <c r="C29" s="5"/>
      <c r="D29" s="5"/>
      <c r="E29" s="5"/>
      <c r="F29" s="5"/>
      <c r="G29" s="5"/>
      <c r="H29" s="6"/>
      <c r="I29" s="5"/>
      <c r="J29" s="5"/>
      <c r="K29" s="5"/>
      <c r="L29" s="5"/>
      <c r="M29" s="5"/>
      <c r="N29" s="5"/>
    </row>
    <row r="30" spans="1:14" ht="42" customHeight="1">
      <c r="A30" s="5"/>
      <c r="B30" s="5"/>
      <c r="C30" s="5"/>
      <c r="D30" s="5"/>
      <c r="E30" s="5"/>
      <c r="F30" s="5"/>
      <c r="G30" s="5"/>
      <c r="H30" s="6"/>
      <c r="I30" s="5"/>
      <c r="J30" s="5"/>
      <c r="K30" s="5"/>
      <c r="L30" s="5"/>
      <c r="M30" s="5"/>
      <c r="N30" s="5"/>
    </row>
    <row r="31" spans="1:14" ht="42" customHeight="1">
      <c r="A31" s="5"/>
      <c r="B31" s="5"/>
      <c r="C31" s="5"/>
      <c r="D31" s="5"/>
      <c r="E31" s="5"/>
      <c r="F31" s="5"/>
      <c r="G31" s="5"/>
      <c r="H31" s="6"/>
      <c r="I31" s="5"/>
      <c r="J31" s="5"/>
      <c r="K31" s="5"/>
      <c r="L31" s="5"/>
      <c r="M31" s="5"/>
      <c r="N31" s="5"/>
    </row>
    <row r="32" spans="1:14" ht="42" customHeight="1">
      <c r="A32" s="5"/>
      <c r="B32" s="5"/>
      <c r="C32" s="5"/>
      <c r="D32" s="5"/>
      <c r="E32" s="5"/>
      <c r="F32" s="5"/>
      <c r="G32" s="5"/>
      <c r="H32" s="6"/>
      <c r="I32" s="5"/>
      <c r="J32" s="5"/>
      <c r="K32" s="5"/>
      <c r="L32" s="5"/>
      <c r="M32" s="5"/>
      <c r="N32" s="5"/>
    </row>
    <row r="33" spans="1:14" ht="42" customHeight="1">
      <c r="A33" s="5"/>
      <c r="B33" s="5"/>
      <c r="C33" s="5"/>
      <c r="D33" s="5"/>
      <c r="E33" s="5"/>
      <c r="F33" s="5"/>
      <c r="G33" s="5"/>
      <c r="H33" s="6"/>
      <c r="I33" s="5"/>
      <c r="J33" s="5"/>
      <c r="K33" s="5"/>
      <c r="L33" s="5"/>
      <c r="M33" s="5"/>
      <c r="N33" s="5"/>
    </row>
    <row r="34" spans="1:14" ht="42" customHeight="1">
      <c r="A34" s="5"/>
      <c r="B34" s="5"/>
      <c r="C34" s="5"/>
      <c r="D34" s="5"/>
      <c r="E34" s="5"/>
      <c r="F34" s="5"/>
      <c r="G34" s="5"/>
      <c r="H34" s="6"/>
      <c r="I34" s="5"/>
      <c r="J34" s="5"/>
      <c r="K34" s="5"/>
      <c r="L34" s="5"/>
      <c r="M34" s="5"/>
      <c r="N34" s="5"/>
    </row>
    <row r="35" spans="1:14" ht="42" customHeight="1">
      <c r="A35" s="5"/>
      <c r="B35" s="5"/>
      <c r="C35" s="5"/>
      <c r="D35" s="5"/>
      <c r="E35" s="5"/>
      <c r="F35" s="5"/>
      <c r="G35" s="5"/>
      <c r="H35" s="6"/>
      <c r="I35" s="5"/>
      <c r="J35" s="5"/>
      <c r="K35" s="5"/>
      <c r="L35" s="5"/>
      <c r="M35" s="5"/>
      <c r="N35" s="5"/>
    </row>
    <row r="36" spans="1:14" ht="42" customHeight="1">
      <c r="A36" s="5"/>
      <c r="B36" s="5"/>
      <c r="C36" s="5"/>
      <c r="D36" s="5"/>
      <c r="E36" s="5"/>
      <c r="F36" s="5"/>
      <c r="G36" s="5"/>
      <c r="H36" s="6"/>
      <c r="I36" s="5"/>
      <c r="J36" s="5"/>
      <c r="K36" s="5"/>
      <c r="L36" s="5"/>
      <c r="M36" s="5"/>
      <c r="N36" s="5"/>
    </row>
    <row r="37" spans="1:14" ht="42" customHeight="1">
      <c r="A37" s="5"/>
      <c r="B37" s="5"/>
      <c r="C37" s="5"/>
      <c r="D37" s="5"/>
      <c r="E37" s="5"/>
      <c r="F37" s="5"/>
      <c r="G37" s="5"/>
      <c r="H37" s="6"/>
      <c r="I37" s="5"/>
      <c r="J37" s="5"/>
      <c r="K37" s="5"/>
      <c r="L37" s="5"/>
      <c r="M37" s="5"/>
      <c r="N37" s="5"/>
    </row>
    <row r="38" spans="1:14" ht="42" customHeight="1">
      <c r="A38" s="5"/>
      <c r="B38" s="5"/>
      <c r="C38" s="5"/>
      <c r="D38" s="5"/>
      <c r="E38" s="5"/>
      <c r="F38" s="5"/>
      <c r="G38" s="5"/>
      <c r="H38" s="6"/>
      <c r="I38" s="5"/>
      <c r="J38" s="5"/>
      <c r="K38" s="5"/>
      <c r="L38" s="5"/>
      <c r="M38" s="5"/>
      <c r="N38" s="5"/>
    </row>
    <row r="39" spans="1:14" ht="42" customHeight="1">
      <c r="A39" s="5"/>
      <c r="B39" s="5"/>
      <c r="C39" s="5"/>
      <c r="D39" s="5"/>
      <c r="E39" s="5"/>
      <c r="F39" s="5"/>
      <c r="G39" s="5"/>
      <c r="H39" s="6"/>
      <c r="I39" s="5"/>
      <c r="J39" s="5"/>
      <c r="K39" s="5"/>
      <c r="L39" s="5"/>
      <c r="M39" s="5"/>
      <c r="N39" s="5"/>
    </row>
    <row r="40" spans="1:14" ht="42" customHeight="1">
      <c r="A40" s="5"/>
      <c r="B40" s="5"/>
      <c r="C40" s="5"/>
      <c r="D40" s="5"/>
      <c r="E40" s="5"/>
      <c r="F40" s="5"/>
      <c r="G40" s="5"/>
      <c r="H40" s="6"/>
      <c r="I40" s="5"/>
      <c r="J40" s="5"/>
      <c r="K40" s="5"/>
      <c r="L40" s="5"/>
      <c r="M40" s="5"/>
      <c r="N40" s="5"/>
    </row>
    <row r="41" spans="1:14" ht="42" customHeight="1">
      <c r="A41" s="5"/>
      <c r="B41" s="5"/>
      <c r="C41" s="5"/>
      <c r="D41" s="5"/>
      <c r="E41" s="5"/>
      <c r="F41" s="5"/>
      <c r="G41" s="5"/>
      <c r="H41" s="6"/>
      <c r="I41" s="5"/>
      <c r="J41" s="5"/>
      <c r="K41" s="5"/>
      <c r="L41" s="5"/>
      <c r="M41" s="5"/>
      <c r="N41" s="5"/>
    </row>
    <row r="42" spans="1:14" ht="42" customHeight="1">
      <c r="A42" s="5"/>
      <c r="B42" s="5"/>
      <c r="C42" s="5"/>
      <c r="D42" s="5"/>
      <c r="E42" s="5"/>
      <c r="F42" s="5"/>
      <c r="G42" s="5"/>
      <c r="H42" s="6"/>
      <c r="I42" s="5"/>
      <c r="J42" s="5"/>
      <c r="K42" s="5"/>
      <c r="L42" s="5"/>
      <c r="M42" s="5"/>
      <c r="N42" s="5"/>
    </row>
    <row r="43" spans="1:14" ht="42" customHeight="1">
      <c r="A43" s="5"/>
      <c r="B43" s="5"/>
      <c r="C43" s="5"/>
      <c r="D43" s="5"/>
      <c r="E43" s="5"/>
      <c r="F43" s="5"/>
      <c r="G43" s="5"/>
      <c r="H43" s="6"/>
      <c r="I43" s="5"/>
      <c r="J43" s="5"/>
      <c r="K43" s="5"/>
      <c r="L43" s="5"/>
      <c r="M43" s="5"/>
      <c r="N43" s="5"/>
    </row>
    <row r="44" spans="1:14" ht="42" customHeight="1">
      <c r="A44" s="5"/>
      <c r="B44" s="5"/>
      <c r="C44" s="5"/>
      <c r="D44" s="5"/>
      <c r="E44" s="5"/>
      <c r="F44" s="5"/>
      <c r="G44" s="5"/>
      <c r="H44" s="6"/>
      <c r="I44" s="5"/>
      <c r="J44" s="5"/>
      <c r="K44" s="5"/>
      <c r="L44" s="5"/>
      <c r="M44" s="5"/>
      <c r="N44" s="5"/>
    </row>
    <row r="45" spans="1:14" ht="42" customHeight="1">
      <c r="A45" s="5"/>
      <c r="B45" s="5"/>
      <c r="C45" s="5"/>
      <c r="D45" s="5"/>
      <c r="E45" s="5"/>
      <c r="F45" s="5"/>
      <c r="G45" s="5"/>
      <c r="H45" s="6"/>
      <c r="I45" s="5"/>
      <c r="J45" s="5"/>
      <c r="K45" s="5"/>
      <c r="L45" s="5"/>
      <c r="M45" s="5"/>
      <c r="N45" s="5"/>
    </row>
    <row r="46" spans="1:14" ht="42" customHeight="1">
      <c r="A46" s="5"/>
      <c r="B46" s="5"/>
      <c r="C46" s="5"/>
      <c r="D46" s="5"/>
      <c r="E46" s="5"/>
      <c r="F46" s="5"/>
      <c r="G46" s="5"/>
      <c r="H46" s="6"/>
      <c r="I46" s="5"/>
      <c r="J46" s="5"/>
      <c r="K46" s="5"/>
      <c r="L46" s="5"/>
      <c r="M46" s="5"/>
      <c r="N46" s="5"/>
    </row>
    <row r="47" spans="1:14" ht="42" customHeight="1">
      <c r="A47" s="5"/>
      <c r="B47" s="5"/>
      <c r="C47" s="5"/>
      <c r="D47" s="5"/>
      <c r="E47" s="5"/>
      <c r="F47" s="5"/>
      <c r="G47" s="5"/>
      <c r="H47" s="6"/>
      <c r="I47" s="5"/>
      <c r="J47" s="5"/>
      <c r="K47" s="5"/>
      <c r="L47" s="5"/>
      <c r="M47" s="5"/>
      <c r="N47" s="5"/>
    </row>
    <row r="48" spans="1:14" ht="42" customHeight="1">
      <c r="A48" s="5"/>
      <c r="B48" s="5"/>
      <c r="C48" s="5"/>
      <c r="D48" s="5"/>
      <c r="E48" s="5"/>
      <c r="F48" s="5"/>
      <c r="G48" s="5"/>
      <c r="H48" s="6"/>
      <c r="I48" s="5"/>
      <c r="J48" s="5"/>
      <c r="K48" s="5"/>
      <c r="L48" s="5"/>
      <c r="M48" s="5"/>
      <c r="N48" s="5"/>
    </row>
    <row r="49" spans="1:14" ht="42" customHeight="1">
      <c r="A49" s="5"/>
      <c r="B49" s="5"/>
      <c r="C49" s="5"/>
      <c r="D49" s="5"/>
      <c r="E49" s="5"/>
      <c r="F49" s="5"/>
      <c r="G49" s="5"/>
      <c r="H49" s="6"/>
      <c r="I49" s="5"/>
      <c r="J49" s="5"/>
      <c r="K49" s="5"/>
      <c r="L49" s="5"/>
      <c r="M49" s="5"/>
      <c r="N49" s="5"/>
    </row>
    <row r="50" spans="1:14" ht="42" customHeight="1">
      <c r="A50" s="5"/>
      <c r="B50" s="5"/>
      <c r="C50" s="5"/>
      <c r="D50" s="5"/>
      <c r="E50" s="5"/>
      <c r="F50" s="5"/>
      <c r="G50" s="5"/>
      <c r="H50" s="6"/>
      <c r="I50" s="5"/>
      <c r="J50" s="5"/>
      <c r="K50" s="5"/>
      <c r="L50" s="5"/>
      <c r="M50" s="5"/>
      <c r="N50" s="5"/>
    </row>
    <row r="51" spans="1:14" ht="42" customHeight="1">
      <c r="A51" s="5"/>
      <c r="B51" s="5"/>
      <c r="C51" s="5"/>
      <c r="D51" s="5"/>
      <c r="E51" s="5"/>
      <c r="F51" s="5"/>
      <c r="G51" s="5"/>
      <c r="H51" s="6"/>
      <c r="I51" s="5"/>
      <c r="J51" s="5"/>
      <c r="K51" s="5"/>
      <c r="L51" s="5"/>
      <c r="M51" s="5"/>
      <c r="N51" s="5"/>
    </row>
    <row r="52" spans="1:14" ht="42" customHeight="1">
      <c r="A52" s="5"/>
      <c r="B52" s="5"/>
      <c r="C52" s="5"/>
      <c r="D52" s="5"/>
      <c r="E52" s="5"/>
      <c r="F52" s="5"/>
      <c r="G52" s="5"/>
      <c r="H52" s="6"/>
      <c r="I52" s="5"/>
      <c r="J52" s="5"/>
      <c r="K52" s="5"/>
      <c r="L52" s="5"/>
      <c r="M52" s="5"/>
      <c r="N52" s="5"/>
    </row>
    <row r="53" spans="1:14" ht="42" customHeight="1">
      <c r="A53" s="5"/>
      <c r="B53" s="5"/>
      <c r="C53" s="5"/>
      <c r="D53" s="5"/>
      <c r="E53" s="5"/>
      <c r="F53" s="5"/>
      <c r="G53" s="5"/>
      <c r="H53" s="6"/>
      <c r="I53" s="5"/>
      <c r="J53" s="5"/>
      <c r="K53" s="5"/>
      <c r="L53" s="5"/>
      <c r="M53" s="5"/>
      <c r="N53" s="5"/>
    </row>
    <row r="54" spans="1:14" ht="42" customHeight="1">
      <c r="A54" s="5"/>
      <c r="B54" s="5"/>
      <c r="C54" s="5"/>
      <c r="D54" s="5"/>
      <c r="E54" s="5"/>
      <c r="F54" s="5"/>
      <c r="G54" s="5"/>
      <c r="H54" s="6"/>
      <c r="I54" s="5"/>
      <c r="J54" s="5"/>
      <c r="K54" s="5"/>
      <c r="L54" s="5"/>
      <c r="M54" s="5"/>
      <c r="N54" s="5"/>
    </row>
    <row r="55" spans="1:14" ht="42" customHeight="1">
      <c r="A55" s="5"/>
      <c r="B55" s="5"/>
      <c r="C55" s="5"/>
      <c r="D55" s="5"/>
      <c r="E55" s="5"/>
      <c r="F55" s="5"/>
      <c r="G55" s="5"/>
      <c r="H55" s="6"/>
      <c r="I55" s="5"/>
      <c r="J55" s="5"/>
      <c r="K55" s="5"/>
      <c r="L55" s="5"/>
      <c r="M55" s="5"/>
      <c r="N55" s="5"/>
    </row>
    <row r="56" spans="1:14" ht="42" customHeight="1">
      <c r="A56" s="5"/>
      <c r="B56" s="5"/>
      <c r="C56" s="5"/>
      <c r="D56" s="5"/>
      <c r="E56" s="5"/>
      <c r="F56" s="5"/>
      <c r="G56" s="5"/>
      <c r="H56" s="6"/>
      <c r="I56" s="5"/>
      <c r="J56" s="5"/>
      <c r="K56" s="5"/>
      <c r="L56" s="5"/>
      <c r="M56" s="5"/>
      <c r="N56" s="5"/>
    </row>
    <row r="57" spans="1:14" ht="42" customHeight="1">
      <c r="A57" s="5"/>
      <c r="B57" s="5"/>
      <c r="C57" s="5"/>
      <c r="D57" s="5"/>
      <c r="E57" s="5"/>
      <c r="F57" s="5"/>
      <c r="G57" s="5"/>
      <c r="H57" s="6"/>
      <c r="I57" s="5"/>
      <c r="J57" s="5"/>
      <c r="K57" s="5"/>
      <c r="L57" s="5"/>
      <c r="M57" s="5"/>
      <c r="N57" s="5"/>
    </row>
    <row r="58" spans="1:14" ht="42" customHeight="1">
      <c r="A58" s="5"/>
      <c r="B58" s="5"/>
      <c r="C58" s="5"/>
      <c r="D58" s="5"/>
      <c r="E58" s="5"/>
      <c r="F58" s="5"/>
      <c r="G58" s="5"/>
      <c r="H58" s="6"/>
      <c r="I58" s="5"/>
      <c r="J58" s="5"/>
      <c r="K58" s="5"/>
      <c r="L58" s="5"/>
      <c r="M58" s="5"/>
      <c r="N58" s="5"/>
    </row>
    <row r="59" spans="1:14" ht="42" customHeight="1">
      <c r="A59" s="5"/>
      <c r="B59" s="5"/>
      <c r="C59" s="5"/>
      <c r="D59" s="5"/>
      <c r="E59" s="5"/>
      <c r="F59" s="5"/>
      <c r="G59" s="5"/>
      <c r="H59" s="6"/>
      <c r="I59" s="5"/>
      <c r="J59" s="5"/>
      <c r="K59" s="5"/>
      <c r="L59" s="5"/>
      <c r="M59" s="5"/>
      <c r="N59" s="5"/>
    </row>
    <row r="60" spans="1:14" ht="42" customHeight="1">
      <c r="A60" s="5"/>
      <c r="B60" s="5"/>
      <c r="C60" s="5"/>
      <c r="D60" s="5"/>
      <c r="E60" s="5"/>
      <c r="F60" s="5"/>
      <c r="G60" s="5"/>
      <c r="H60" s="6"/>
      <c r="I60" s="5"/>
      <c r="J60" s="5"/>
      <c r="K60" s="5"/>
      <c r="L60" s="5"/>
      <c r="M60" s="5"/>
      <c r="N60" s="5"/>
    </row>
    <row r="61" spans="1:14" ht="42" customHeight="1">
      <c r="A61" s="5"/>
      <c r="B61" s="5"/>
      <c r="C61" s="5"/>
      <c r="D61" s="5"/>
      <c r="E61" s="5"/>
      <c r="F61" s="5"/>
      <c r="G61" s="5"/>
      <c r="H61" s="6"/>
      <c r="I61" s="5"/>
      <c r="J61" s="5"/>
      <c r="K61" s="5"/>
      <c r="L61" s="5"/>
      <c r="M61" s="5"/>
      <c r="N61" s="5"/>
    </row>
    <row r="62" spans="1:14" ht="42" customHeight="1">
      <c r="A62" s="5"/>
      <c r="B62" s="5"/>
      <c r="C62" s="5"/>
      <c r="D62" s="5"/>
      <c r="E62" s="5"/>
      <c r="F62" s="5"/>
      <c r="G62" s="5"/>
      <c r="H62" s="6"/>
      <c r="I62" s="5"/>
      <c r="J62" s="5"/>
      <c r="K62" s="5"/>
      <c r="L62" s="5"/>
      <c r="M62" s="5"/>
      <c r="N62" s="5"/>
    </row>
    <row r="63" spans="1:14" ht="42" customHeight="1">
      <c r="A63" s="5"/>
      <c r="B63" s="5"/>
      <c r="C63" s="5"/>
      <c r="D63" s="5"/>
      <c r="E63" s="5"/>
      <c r="F63" s="5"/>
      <c r="G63" s="5"/>
      <c r="H63" s="6"/>
      <c r="I63" s="5"/>
      <c r="J63" s="5"/>
      <c r="K63" s="5"/>
      <c r="L63" s="5"/>
      <c r="M63" s="5"/>
      <c r="N63" s="5"/>
    </row>
    <row r="64" spans="1:14" ht="42" customHeight="1">
      <c r="A64" s="5"/>
      <c r="B64" s="5"/>
      <c r="C64" s="5"/>
      <c r="D64" s="5"/>
      <c r="E64" s="5"/>
      <c r="F64" s="5"/>
      <c r="G64" s="5"/>
      <c r="H64" s="6"/>
      <c r="I64" s="5"/>
      <c r="J64" s="5"/>
      <c r="K64" s="5"/>
      <c r="L64" s="5"/>
      <c r="M64" s="5"/>
      <c r="N64" s="5"/>
    </row>
    <row r="65" spans="1:14" ht="42" customHeight="1">
      <c r="A65" s="5"/>
      <c r="B65" s="5"/>
      <c r="C65" s="5"/>
      <c r="D65" s="5"/>
      <c r="E65" s="5"/>
      <c r="F65" s="5"/>
      <c r="G65" s="5"/>
      <c r="H65" s="6"/>
      <c r="I65" s="5"/>
      <c r="J65" s="5"/>
      <c r="K65" s="5"/>
      <c r="L65" s="5"/>
      <c r="M65" s="5"/>
      <c r="N65" s="5"/>
    </row>
    <row r="66" spans="1:14" ht="42" customHeight="1">
      <c r="A66" s="5"/>
      <c r="B66" s="5"/>
      <c r="C66" s="5"/>
      <c r="D66" s="5"/>
      <c r="E66" s="5"/>
      <c r="F66" s="5"/>
      <c r="G66" s="5"/>
      <c r="H66" s="6"/>
      <c r="I66" s="5"/>
      <c r="J66" s="5"/>
      <c r="K66" s="5"/>
      <c r="L66" s="5"/>
      <c r="M66" s="5"/>
      <c r="N66" s="5"/>
    </row>
    <row r="67" spans="1:14" ht="42" customHeight="1">
      <c r="A67" s="5"/>
      <c r="B67" s="5"/>
      <c r="C67" s="5"/>
      <c r="D67" s="5"/>
      <c r="E67" s="5"/>
      <c r="F67" s="5"/>
      <c r="G67" s="5"/>
      <c r="H67" s="6"/>
      <c r="I67" s="5"/>
      <c r="J67" s="5"/>
      <c r="K67" s="5"/>
      <c r="L67" s="5"/>
      <c r="M67" s="5"/>
      <c r="N67" s="5"/>
    </row>
    <row r="68" spans="1:14" ht="42" customHeight="1">
      <c r="A68" s="5"/>
      <c r="B68" s="5"/>
      <c r="C68" s="5"/>
      <c r="D68" s="5"/>
      <c r="E68" s="5"/>
      <c r="F68" s="5"/>
      <c r="G68" s="5"/>
      <c r="H68" s="6"/>
      <c r="I68" s="5"/>
      <c r="J68" s="5"/>
      <c r="K68" s="5"/>
      <c r="L68" s="5"/>
      <c r="M68" s="5"/>
      <c r="N68" s="5"/>
    </row>
    <row r="69" spans="1:14" ht="42" customHeight="1">
      <c r="A69" s="5"/>
      <c r="B69" s="5"/>
      <c r="C69" s="5"/>
      <c r="D69" s="5"/>
      <c r="E69" s="5"/>
      <c r="F69" s="5"/>
      <c r="G69" s="5"/>
      <c r="H69" s="6"/>
      <c r="I69" s="5"/>
      <c r="J69" s="5"/>
      <c r="K69" s="5"/>
      <c r="L69" s="5"/>
      <c r="M69" s="5"/>
      <c r="N69" s="5"/>
    </row>
    <row r="70" spans="1:14" ht="42" customHeight="1">
      <c r="A70" s="5"/>
      <c r="B70" s="5"/>
      <c r="C70" s="5"/>
      <c r="D70" s="5"/>
      <c r="E70" s="5"/>
      <c r="F70" s="5"/>
      <c r="G70" s="5"/>
      <c r="H70" s="6"/>
      <c r="I70" s="5"/>
      <c r="J70" s="5"/>
      <c r="K70" s="5"/>
      <c r="L70" s="5"/>
      <c r="M70" s="5"/>
      <c r="N70" s="5"/>
    </row>
    <row r="71" spans="1:14" ht="42" customHeight="1">
      <c r="A71" s="5"/>
      <c r="B71" s="5"/>
      <c r="C71" s="5"/>
      <c r="D71" s="5"/>
      <c r="E71" s="5"/>
      <c r="F71" s="5"/>
      <c r="G71" s="5"/>
      <c r="H71" s="6"/>
      <c r="I71" s="5"/>
      <c r="J71" s="5"/>
      <c r="K71" s="5"/>
      <c r="L71" s="5"/>
      <c r="M71" s="5"/>
      <c r="N71" s="5"/>
    </row>
    <row r="72" spans="1:14" ht="42" customHeight="1">
      <c r="A72" s="5"/>
      <c r="B72" s="5"/>
      <c r="C72" s="5"/>
      <c r="D72" s="5"/>
      <c r="E72" s="5"/>
      <c r="F72" s="5"/>
      <c r="G72" s="5"/>
      <c r="H72" s="6"/>
      <c r="I72" s="5"/>
      <c r="J72" s="5"/>
      <c r="K72" s="5"/>
      <c r="L72" s="5"/>
      <c r="M72" s="5"/>
      <c r="N72" s="5"/>
    </row>
    <row r="73" spans="1:14" ht="42" customHeight="1">
      <c r="A73" s="5"/>
      <c r="B73" s="5"/>
      <c r="C73" s="5"/>
      <c r="D73" s="5"/>
      <c r="E73" s="5"/>
      <c r="F73" s="5"/>
      <c r="G73" s="5"/>
      <c r="H73" s="6"/>
      <c r="I73" s="5"/>
      <c r="J73" s="5"/>
      <c r="K73" s="5"/>
      <c r="L73" s="5"/>
      <c r="M73" s="5"/>
      <c r="N73" s="5"/>
    </row>
    <row r="74" spans="1:14" ht="42" customHeight="1">
      <c r="A74" s="5"/>
      <c r="B74" s="5"/>
      <c r="C74" s="5"/>
      <c r="D74" s="5"/>
      <c r="E74" s="5"/>
      <c r="F74" s="5"/>
      <c r="G74" s="5"/>
      <c r="H74" s="6"/>
      <c r="I74" s="5"/>
      <c r="J74" s="5"/>
      <c r="K74" s="5"/>
      <c r="L74" s="5"/>
      <c r="M74" s="5"/>
      <c r="N74" s="5"/>
    </row>
    <row r="75" spans="1:14" ht="42" customHeight="1">
      <c r="A75" s="5"/>
      <c r="B75" s="5"/>
      <c r="C75" s="5"/>
      <c r="D75" s="5"/>
      <c r="E75" s="5"/>
      <c r="F75" s="5"/>
      <c r="G75" s="5"/>
      <c r="H75" s="6"/>
      <c r="I75" s="5"/>
      <c r="J75" s="5"/>
      <c r="K75" s="5"/>
      <c r="L75" s="5"/>
      <c r="M75" s="5"/>
      <c r="N75" s="5"/>
    </row>
    <row r="76" spans="1:14" ht="42" customHeight="1">
      <c r="A76" s="5"/>
      <c r="B76" s="5"/>
      <c r="C76" s="5"/>
      <c r="D76" s="5"/>
      <c r="E76" s="5"/>
      <c r="F76" s="5"/>
      <c r="G76" s="5"/>
      <c r="H76" s="6"/>
      <c r="I76" s="5"/>
      <c r="J76" s="5"/>
      <c r="K76" s="5"/>
      <c r="L76" s="5"/>
      <c r="M76" s="5"/>
      <c r="N76" s="5"/>
    </row>
    <row r="77" spans="1:14" ht="42" customHeight="1">
      <c r="A77" s="5"/>
      <c r="B77" s="5"/>
      <c r="C77" s="5"/>
      <c r="D77" s="5"/>
      <c r="E77" s="5"/>
      <c r="F77" s="5"/>
      <c r="G77" s="5"/>
      <c r="H77" s="6"/>
      <c r="I77" s="5"/>
      <c r="J77" s="5"/>
      <c r="K77" s="5"/>
      <c r="L77" s="5"/>
      <c r="M77" s="5"/>
      <c r="N77" s="5"/>
    </row>
    <row r="78" spans="1:14" ht="42" customHeight="1">
      <c r="A78" s="5"/>
      <c r="B78" s="5"/>
      <c r="C78" s="5"/>
      <c r="D78" s="5"/>
      <c r="E78" s="5"/>
      <c r="F78" s="5"/>
      <c r="G78" s="5"/>
      <c r="H78" s="6"/>
      <c r="I78" s="5"/>
      <c r="J78" s="5"/>
      <c r="K78" s="5"/>
      <c r="L78" s="5"/>
      <c r="M78" s="5"/>
      <c r="N78" s="5"/>
    </row>
    <row r="79" spans="1:14" ht="42" customHeight="1">
      <c r="A79" s="5"/>
      <c r="B79" s="5"/>
      <c r="C79" s="5"/>
      <c r="D79" s="5"/>
      <c r="E79" s="5"/>
      <c r="F79" s="5"/>
      <c r="G79" s="5"/>
      <c r="H79" s="6"/>
      <c r="I79" s="5"/>
      <c r="J79" s="5"/>
      <c r="K79" s="5"/>
      <c r="L79" s="5"/>
      <c r="M79" s="5"/>
      <c r="N79" s="5"/>
    </row>
    <row r="80" spans="1:14" ht="42" customHeight="1">
      <c r="A80" s="5"/>
      <c r="B80" s="5"/>
      <c r="C80" s="5"/>
      <c r="D80" s="5"/>
      <c r="E80" s="5"/>
      <c r="F80" s="5"/>
      <c r="G80" s="5"/>
      <c r="H80" s="6"/>
      <c r="I80" s="5"/>
      <c r="J80" s="5"/>
      <c r="K80" s="5"/>
      <c r="L80" s="5"/>
      <c r="M80" s="5"/>
      <c r="N80" s="5"/>
    </row>
    <row r="81" spans="1:14" ht="42" customHeight="1">
      <c r="A81" s="5"/>
      <c r="B81" s="5"/>
      <c r="C81" s="5"/>
      <c r="D81" s="5"/>
      <c r="E81" s="5"/>
      <c r="F81" s="5"/>
      <c r="G81" s="5"/>
      <c r="H81" s="6"/>
      <c r="I81" s="5"/>
      <c r="J81" s="5"/>
      <c r="K81" s="5"/>
      <c r="L81" s="5"/>
      <c r="M81" s="5"/>
      <c r="N81" s="5"/>
    </row>
    <row r="82" spans="1:14" ht="42" customHeight="1">
      <c r="A82" s="5"/>
      <c r="B82" s="5"/>
      <c r="C82" s="5"/>
      <c r="D82" s="5"/>
      <c r="E82" s="5"/>
      <c r="F82" s="5"/>
      <c r="G82" s="5"/>
      <c r="H82" s="6"/>
      <c r="I82" s="5"/>
      <c r="J82" s="5"/>
      <c r="K82" s="5"/>
      <c r="L82" s="5"/>
      <c r="M82" s="5"/>
      <c r="N82" s="5"/>
    </row>
    <row r="83" spans="1:14" ht="42" customHeight="1">
      <c r="A83" s="5"/>
      <c r="B83" s="5"/>
      <c r="C83" s="5"/>
      <c r="D83" s="5"/>
      <c r="E83" s="5"/>
      <c r="F83" s="5"/>
      <c r="G83" s="5"/>
      <c r="H83" s="6"/>
      <c r="I83" s="5"/>
      <c r="J83" s="5"/>
      <c r="K83" s="5"/>
      <c r="L83" s="5"/>
      <c r="M83" s="5"/>
      <c r="N83" s="5"/>
    </row>
    <row r="84" spans="1:14" ht="42" customHeight="1">
      <c r="A84" s="5"/>
      <c r="B84" s="5"/>
      <c r="C84" s="5"/>
      <c r="D84" s="5"/>
      <c r="E84" s="5"/>
      <c r="F84" s="5"/>
      <c r="G84" s="5"/>
      <c r="H84" s="6"/>
      <c r="I84" s="5"/>
      <c r="J84" s="5"/>
      <c r="K84" s="5"/>
      <c r="L84" s="5"/>
      <c r="M84" s="5"/>
      <c r="N84" s="5"/>
    </row>
    <row r="85" spans="1:14" ht="42" customHeight="1">
      <c r="A85" s="5"/>
      <c r="B85" s="5"/>
      <c r="C85" s="5"/>
      <c r="D85" s="5"/>
      <c r="E85" s="5"/>
      <c r="F85" s="5"/>
      <c r="G85" s="5"/>
      <c r="H85" s="6"/>
      <c r="I85" s="5"/>
      <c r="J85" s="5"/>
      <c r="K85" s="5"/>
      <c r="L85" s="5"/>
      <c r="M85" s="5"/>
      <c r="N85" s="5"/>
    </row>
    <row r="86" spans="1:14" ht="42" customHeight="1">
      <c r="A86" s="5"/>
      <c r="B86" s="5"/>
      <c r="C86" s="5"/>
      <c r="D86" s="5"/>
      <c r="E86" s="5"/>
      <c r="F86" s="5"/>
      <c r="G86" s="5"/>
      <c r="H86" s="6"/>
      <c r="I86" s="5"/>
      <c r="J86" s="5"/>
      <c r="K86" s="5"/>
      <c r="L86" s="5"/>
      <c r="M86" s="5"/>
      <c r="N86" s="5"/>
    </row>
    <row r="87" spans="1:14" ht="42" customHeight="1">
      <c r="A87" s="5"/>
      <c r="B87" s="5"/>
      <c r="C87" s="5"/>
      <c r="D87" s="5"/>
      <c r="E87" s="5"/>
      <c r="F87" s="5"/>
      <c r="G87" s="5"/>
      <c r="H87" s="6"/>
      <c r="I87" s="5"/>
      <c r="J87" s="5"/>
      <c r="K87" s="5"/>
      <c r="L87" s="5"/>
      <c r="M87" s="5"/>
      <c r="N87" s="5"/>
    </row>
    <row r="88" spans="1:14" ht="42" customHeight="1">
      <c r="A88" s="5"/>
      <c r="B88" s="5"/>
      <c r="C88" s="5"/>
      <c r="D88" s="5"/>
      <c r="E88" s="5"/>
      <c r="F88" s="5"/>
      <c r="G88" s="5"/>
      <c r="H88" s="6"/>
      <c r="I88" s="5"/>
      <c r="J88" s="5"/>
      <c r="K88" s="5"/>
      <c r="L88" s="5"/>
      <c r="M88" s="5"/>
      <c r="N88" s="5"/>
    </row>
    <row r="89" spans="1:14" ht="42" customHeight="1">
      <c r="A89" s="5"/>
      <c r="B89" s="5"/>
      <c r="C89" s="5"/>
      <c r="D89" s="5"/>
      <c r="E89" s="5"/>
      <c r="F89" s="5"/>
      <c r="G89" s="5"/>
      <c r="H89" s="6"/>
      <c r="I89" s="5"/>
      <c r="J89" s="5"/>
      <c r="K89" s="5"/>
      <c r="L89" s="5"/>
      <c r="M89" s="5"/>
      <c r="N89" s="5"/>
    </row>
    <row r="90" spans="1:14" ht="42" customHeight="1">
      <c r="A90" s="5"/>
      <c r="B90" s="5"/>
      <c r="C90" s="5"/>
      <c r="D90" s="5"/>
      <c r="E90" s="5"/>
      <c r="F90" s="5"/>
      <c r="G90" s="5"/>
      <c r="H90" s="6"/>
      <c r="I90" s="5"/>
      <c r="J90" s="5"/>
      <c r="K90" s="5"/>
      <c r="L90" s="5"/>
      <c r="M90" s="5"/>
      <c r="N90" s="5"/>
    </row>
    <row r="91" spans="1:14" ht="42" customHeight="1">
      <c r="A91" s="5"/>
      <c r="B91" s="5"/>
      <c r="C91" s="5"/>
      <c r="D91" s="5"/>
      <c r="E91" s="5"/>
      <c r="F91" s="5"/>
      <c r="G91" s="5"/>
      <c r="H91" s="6"/>
      <c r="I91" s="5"/>
      <c r="J91" s="5"/>
      <c r="K91" s="5"/>
      <c r="L91" s="5"/>
      <c r="M91" s="5"/>
      <c r="N91" s="5"/>
    </row>
    <row r="92" spans="1:14" ht="42" customHeight="1">
      <c r="A92" s="5"/>
      <c r="B92" s="5"/>
      <c r="C92" s="5"/>
      <c r="D92" s="5"/>
      <c r="E92" s="5"/>
      <c r="F92" s="5"/>
      <c r="G92" s="5"/>
      <c r="H92" s="6"/>
      <c r="I92" s="5"/>
      <c r="J92" s="5"/>
      <c r="K92" s="5"/>
      <c r="L92" s="5"/>
      <c r="M92" s="5"/>
      <c r="N92" s="5"/>
    </row>
    <row r="93" spans="1:14" ht="42" customHeight="1">
      <c r="A93" s="5"/>
      <c r="B93" s="5"/>
      <c r="C93" s="5"/>
      <c r="D93" s="5"/>
      <c r="E93" s="5"/>
      <c r="F93" s="5"/>
      <c r="G93" s="5"/>
      <c r="H93" s="6"/>
      <c r="I93" s="5"/>
      <c r="J93" s="5"/>
      <c r="K93" s="5"/>
      <c r="L93" s="5"/>
      <c r="M93" s="5"/>
      <c r="N93" s="5"/>
    </row>
    <row r="94" spans="1:14" ht="42" customHeight="1">
      <c r="A94" s="5"/>
      <c r="B94" s="5"/>
      <c r="C94" s="5"/>
      <c r="D94" s="5"/>
      <c r="E94" s="5"/>
      <c r="F94" s="5"/>
      <c r="G94" s="5"/>
      <c r="H94" s="6"/>
      <c r="I94" s="5"/>
      <c r="J94" s="5"/>
      <c r="K94" s="5"/>
      <c r="L94" s="5"/>
      <c r="M94" s="5"/>
      <c r="N94" s="5"/>
    </row>
    <row r="95" spans="1:14" ht="42" customHeight="1">
      <c r="A95" s="5"/>
      <c r="B95" s="5"/>
      <c r="C95" s="5"/>
      <c r="D95" s="5"/>
      <c r="E95" s="5"/>
      <c r="F95" s="5"/>
      <c r="G95" s="5"/>
      <c r="H95" s="6"/>
      <c r="I95" s="5"/>
      <c r="J95" s="5"/>
      <c r="K95" s="5"/>
      <c r="L95" s="5"/>
      <c r="M95" s="5"/>
      <c r="N95" s="5"/>
    </row>
    <row r="96" spans="1:14" ht="42" customHeight="1">
      <c r="A96" s="5"/>
      <c r="B96" s="5"/>
      <c r="C96" s="5"/>
      <c r="D96" s="5"/>
      <c r="E96" s="5"/>
      <c r="F96" s="5"/>
      <c r="G96" s="5"/>
      <c r="H96" s="6"/>
      <c r="I96" s="5"/>
      <c r="J96" s="5"/>
      <c r="K96" s="5"/>
      <c r="L96" s="5"/>
      <c r="M96" s="5"/>
      <c r="N96" s="5"/>
    </row>
    <row r="97" spans="1:14" ht="42" customHeight="1">
      <c r="A97" s="5"/>
      <c r="B97" s="5"/>
      <c r="C97" s="5"/>
      <c r="D97" s="5"/>
      <c r="E97" s="5"/>
      <c r="F97" s="5"/>
      <c r="G97" s="5"/>
      <c r="H97" s="6"/>
      <c r="I97" s="5"/>
      <c r="J97" s="5"/>
      <c r="K97" s="5"/>
      <c r="L97" s="5"/>
      <c r="M97" s="5"/>
      <c r="N97" s="5"/>
    </row>
    <row r="98" spans="1:14" ht="42" customHeight="1">
      <c r="A98" s="5"/>
      <c r="B98" s="5"/>
      <c r="C98" s="5"/>
      <c r="D98" s="5"/>
      <c r="E98" s="5"/>
      <c r="F98" s="5"/>
      <c r="G98" s="5"/>
      <c r="H98" s="6"/>
      <c r="I98" s="5"/>
      <c r="J98" s="5"/>
      <c r="K98" s="5"/>
      <c r="L98" s="5"/>
      <c r="M98" s="5"/>
      <c r="N98" s="5"/>
    </row>
    <row r="99" spans="1:14" ht="42" customHeight="1">
      <c r="A99" s="5"/>
      <c r="B99" s="5"/>
      <c r="C99" s="5"/>
      <c r="D99" s="5"/>
      <c r="E99" s="5"/>
      <c r="F99" s="5"/>
      <c r="G99" s="5"/>
      <c r="H99" s="6"/>
      <c r="I99" s="5"/>
      <c r="J99" s="5"/>
      <c r="K99" s="5"/>
      <c r="L99" s="5"/>
      <c r="M99" s="5"/>
      <c r="N99" s="5"/>
    </row>
    <row r="100" spans="1:14" ht="42" customHeight="1">
      <c r="A100" s="5"/>
      <c r="B100" s="5"/>
      <c r="C100" s="5"/>
      <c r="D100" s="5"/>
      <c r="E100" s="5"/>
      <c r="F100" s="5"/>
      <c r="G100" s="5"/>
      <c r="H100" s="6"/>
      <c r="I100" s="5"/>
      <c r="J100" s="5"/>
      <c r="K100" s="5"/>
      <c r="L100" s="5"/>
      <c r="M100" s="5"/>
      <c r="N100" s="5"/>
    </row>
    <row r="101" spans="1:14" ht="42" customHeight="1">
      <c r="A101" s="5"/>
      <c r="B101" s="5"/>
      <c r="C101" s="5"/>
      <c r="D101" s="5"/>
      <c r="E101" s="5"/>
      <c r="F101" s="5"/>
      <c r="G101" s="5"/>
      <c r="H101" s="6"/>
      <c r="I101" s="5"/>
      <c r="J101" s="5"/>
      <c r="K101" s="5"/>
      <c r="L101" s="5"/>
      <c r="M101" s="5"/>
      <c r="N101" s="5"/>
    </row>
    <row r="102" spans="1:14" ht="42" customHeight="1">
      <c r="A102" s="5"/>
      <c r="B102" s="5"/>
      <c r="C102" s="5"/>
      <c r="D102" s="5"/>
      <c r="E102" s="5"/>
      <c r="F102" s="5"/>
      <c r="G102" s="5"/>
      <c r="H102" s="6"/>
      <c r="I102" s="5"/>
      <c r="J102" s="5"/>
      <c r="K102" s="5"/>
      <c r="L102" s="5"/>
      <c r="M102" s="5"/>
      <c r="N102" s="5"/>
    </row>
    <row r="103" spans="1:14" ht="42" customHeight="1">
      <c r="A103" s="5"/>
      <c r="B103" s="5"/>
      <c r="C103" s="5"/>
      <c r="D103" s="5"/>
      <c r="E103" s="5"/>
      <c r="F103" s="5"/>
      <c r="G103" s="5"/>
      <c r="H103" s="6"/>
      <c r="I103" s="5"/>
      <c r="J103" s="5"/>
      <c r="K103" s="5"/>
      <c r="L103" s="5"/>
      <c r="M103" s="5"/>
      <c r="N103" s="5"/>
    </row>
    <row r="104" spans="1:14" ht="42" customHeight="1">
      <c r="A104" s="5"/>
      <c r="B104" s="5"/>
      <c r="C104" s="5"/>
      <c r="D104" s="5"/>
      <c r="E104" s="5"/>
      <c r="F104" s="5"/>
      <c r="G104" s="5"/>
      <c r="H104" s="6"/>
      <c r="I104" s="5"/>
      <c r="J104" s="5"/>
      <c r="K104" s="5"/>
      <c r="L104" s="5"/>
      <c r="M104" s="5"/>
      <c r="N104" s="5"/>
    </row>
    <row r="105" spans="1:14" ht="42" customHeight="1">
      <c r="A105" s="5"/>
      <c r="B105" s="5"/>
      <c r="C105" s="5"/>
      <c r="D105" s="5"/>
      <c r="E105" s="5"/>
      <c r="F105" s="5"/>
      <c r="G105" s="5"/>
      <c r="H105" s="6"/>
      <c r="I105" s="5"/>
      <c r="J105" s="5"/>
      <c r="K105" s="5"/>
      <c r="L105" s="5"/>
      <c r="M105" s="5"/>
      <c r="N105" s="5"/>
    </row>
    <row r="106" spans="1:14" ht="42" customHeight="1">
      <c r="A106" s="5"/>
      <c r="B106" s="5"/>
      <c r="C106" s="5"/>
      <c r="D106" s="5"/>
      <c r="E106" s="5"/>
      <c r="F106" s="5"/>
      <c r="G106" s="5"/>
      <c r="H106" s="6"/>
      <c r="I106" s="5"/>
      <c r="J106" s="5"/>
      <c r="K106" s="5"/>
      <c r="L106" s="5"/>
      <c r="M106" s="5"/>
      <c r="N106" s="5"/>
    </row>
    <row r="107" spans="1:14" ht="42" customHeight="1">
      <c r="A107" s="5"/>
      <c r="B107" s="5"/>
      <c r="C107" s="5"/>
      <c r="D107" s="5"/>
      <c r="E107" s="5"/>
      <c r="F107" s="5"/>
      <c r="G107" s="5"/>
      <c r="H107" s="6"/>
      <c r="I107" s="5"/>
      <c r="J107" s="5"/>
      <c r="K107" s="5"/>
      <c r="L107" s="5"/>
      <c r="M107" s="5"/>
      <c r="N107" s="5"/>
    </row>
    <row r="108" spans="1:14" ht="42" customHeight="1">
      <c r="A108" s="5"/>
      <c r="B108" s="5"/>
      <c r="C108" s="5"/>
      <c r="D108" s="5"/>
      <c r="E108" s="5"/>
      <c r="F108" s="5"/>
      <c r="G108" s="5"/>
      <c r="H108" s="6"/>
      <c r="I108" s="5"/>
      <c r="J108" s="5"/>
      <c r="K108" s="5"/>
      <c r="L108" s="5"/>
      <c r="M108" s="5"/>
      <c r="N108" s="5"/>
    </row>
    <row r="109" spans="1:14" ht="42" customHeight="1">
      <c r="A109" s="5"/>
      <c r="B109" s="5"/>
      <c r="C109" s="5"/>
      <c r="D109" s="5"/>
      <c r="E109" s="5"/>
      <c r="F109" s="5"/>
      <c r="G109" s="5"/>
      <c r="H109" s="6"/>
      <c r="I109" s="5"/>
      <c r="J109" s="5"/>
      <c r="K109" s="5"/>
      <c r="L109" s="5"/>
      <c r="M109" s="5"/>
      <c r="N109" s="5"/>
    </row>
    <row r="110" spans="1:14" ht="42" customHeight="1">
      <c r="A110" s="5"/>
      <c r="B110" s="5"/>
      <c r="C110" s="5"/>
      <c r="D110" s="5"/>
      <c r="E110" s="5"/>
      <c r="F110" s="5"/>
      <c r="G110" s="5"/>
      <c r="H110" s="6"/>
      <c r="I110" s="5"/>
      <c r="J110" s="5"/>
      <c r="K110" s="5"/>
      <c r="L110" s="5"/>
      <c r="M110" s="5"/>
      <c r="N110" s="5"/>
    </row>
    <row r="111" spans="1:14" ht="42" customHeight="1">
      <c r="A111" s="5"/>
      <c r="B111" s="5"/>
      <c r="C111" s="5"/>
      <c r="D111" s="5"/>
      <c r="E111" s="5"/>
      <c r="F111" s="5"/>
      <c r="G111" s="5"/>
      <c r="H111" s="6"/>
      <c r="I111" s="5"/>
      <c r="J111" s="5"/>
      <c r="K111" s="5"/>
      <c r="L111" s="5"/>
      <c r="M111" s="5"/>
      <c r="N111" s="5"/>
    </row>
    <row r="112" spans="1:14" ht="42" customHeight="1">
      <c r="A112" s="5"/>
      <c r="B112" s="5"/>
      <c r="C112" s="5"/>
      <c r="D112" s="5"/>
      <c r="E112" s="5"/>
      <c r="F112" s="5"/>
      <c r="G112" s="5"/>
      <c r="H112" s="6"/>
      <c r="I112" s="5"/>
      <c r="J112" s="5"/>
      <c r="K112" s="5"/>
      <c r="L112" s="5"/>
      <c r="M112" s="5"/>
      <c r="N112" s="5"/>
    </row>
    <row r="113" spans="1:14" ht="42" customHeight="1">
      <c r="A113" s="5"/>
      <c r="B113" s="5"/>
      <c r="C113" s="5"/>
      <c r="D113" s="5"/>
      <c r="E113" s="5"/>
      <c r="F113" s="5"/>
      <c r="G113" s="5"/>
      <c r="H113" s="6"/>
      <c r="I113" s="5"/>
      <c r="J113" s="5"/>
      <c r="K113" s="5"/>
      <c r="L113" s="5"/>
      <c r="M113" s="5"/>
      <c r="N113" s="5"/>
    </row>
    <row r="114" spans="1:14" ht="42" customHeight="1">
      <c r="A114" s="5"/>
      <c r="B114" s="5"/>
      <c r="C114" s="5"/>
      <c r="D114" s="5"/>
      <c r="E114" s="5"/>
      <c r="F114" s="5"/>
      <c r="G114" s="5"/>
      <c r="H114" s="6"/>
      <c r="I114" s="5"/>
      <c r="J114" s="5"/>
      <c r="K114" s="5"/>
      <c r="L114" s="5"/>
      <c r="M114" s="5"/>
      <c r="N114" s="5"/>
    </row>
    <row r="115" spans="1:14" ht="42" customHeight="1">
      <c r="A115" s="5"/>
      <c r="B115" s="5"/>
      <c r="C115" s="5"/>
      <c r="D115" s="5"/>
      <c r="E115" s="5"/>
      <c r="F115" s="5"/>
      <c r="G115" s="5"/>
      <c r="H115" s="6"/>
      <c r="I115" s="5"/>
      <c r="J115" s="5"/>
      <c r="K115" s="5"/>
      <c r="L115" s="5"/>
      <c r="M115" s="5"/>
      <c r="N115" s="5"/>
    </row>
    <row r="116" spans="1:14" ht="42" customHeight="1">
      <c r="A116" s="5"/>
      <c r="B116" s="5"/>
      <c r="C116" s="5"/>
      <c r="D116" s="5"/>
      <c r="E116" s="5"/>
      <c r="F116" s="5"/>
      <c r="G116" s="5"/>
      <c r="H116" s="6"/>
      <c r="I116" s="5"/>
      <c r="J116" s="5"/>
      <c r="K116" s="5"/>
      <c r="L116" s="5"/>
      <c r="M116" s="5"/>
      <c r="N116" s="5"/>
    </row>
    <row r="117" spans="1:14" ht="42" customHeight="1">
      <c r="A117" s="5"/>
      <c r="B117" s="5"/>
      <c r="C117" s="5"/>
      <c r="D117" s="5"/>
      <c r="E117" s="5"/>
      <c r="F117" s="5"/>
      <c r="G117" s="5"/>
      <c r="H117" s="6"/>
      <c r="I117" s="5"/>
      <c r="J117" s="5"/>
      <c r="K117" s="5"/>
      <c r="L117" s="5"/>
      <c r="M117" s="5"/>
      <c r="N117" s="5"/>
    </row>
    <row r="118" spans="1:14" ht="42" customHeight="1">
      <c r="A118" s="5"/>
      <c r="B118" s="5"/>
      <c r="C118" s="5"/>
      <c r="D118" s="5"/>
      <c r="E118" s="5"/>
      <c r="F118" s="5"/>
      <c r="G118" s="5"/>
      <c r="H118" s="6"/>
      <c r="I118" s="5"/>
      <c r="J118" s="5"/>
      <c r="K118" s="5"/>
      <c r="L118" s="5"/>
      <c r="M118" s="5"/>
      <c r="N118" s="5"/>
    </row>
    <row r="119" spans="1:14" ht="42" customHeight="1">
      <c r="A119" s="5"/>
      <c r="B119" s="5"/>
      <c r="C119" s="5"/>
      <c r="D119" s="5"/>
      <c r="E119" s="5"/>
      <c r="F119" s="5"/>
      <c r="G119" s="5"/>
      <c r="H119" s="6"/>
      <c r="I119" s="5"/>
      <c r="J119" s="5"/>
      <c r="K119" s="5"/>
      <c r="L119" s="5"/>
      <c r="M119" s="5"/>
      <c r="N119" s="5"/>
    </row>
    <row r="120" spans="1:14" ht="42" customHeight="1">
      <c r="A120" s="5"/>
      <c r="B120" s="5"/>
      <c r="C120" s="5"/>
      <c r="D120" s="5"/>
      <c r="E120" s="5"/>
      <c r="F120" s="5"/>
      <c r="G120" s="5"/>
      <c r="H120" s="6"/>
      <c r="I120" s="5"/>
      <c r="J120" s="5"/>
      <c r="K120" s="5"/>
      <c r="L120" s="5"/>
      <c r="M120" s="5"/>
      <c r="N120" s="5"/>
    </row>
    <row r="121" spans="1:14" ht="42" customHeight="1">
      <c r="A121" s="5"/>
      <c r="B121" s="5"/>
      <c r="C121" s="5"/>
      <c r="D121" s="5"/>
      <c r="E121" s="5"/>
      <c r="F121" s="5"/>
      <c r="G121" s="5"/>
      <c r="H121" s="6"/>
      <c r="I121" s="5"/>
      <c r="J121" s="5"/>
      <c r="K121" s="5"/>
      <c r="L121" s="5"/>
      <c r="M121" s="5"/>
      <c r="N121" s="5"/>
    </row>
    <row r="122" spans="1:14" ht="42" customHeight="1">
      <c r="A122" s="5"/>
      <c r="B122" s="5"/>
      <c r="C122" s="5"/>
      <c r="D122" s="5"/>
      <c r="E122" s="5"/>
      <c r="F122" s="5"/>
      <c r="G122" s="5"/>
      <c r="H122" s="6"/>
      <c r="I122" s="5"/>
      <c r="J122" s="5"/>
      <c r="K122" s="5"/>
      <c r="L122" s="5"/>
      <c r="M122" s="5"/>
      <c r="N122" s="5"/>
    </row>
    <row r="123" spans="1:14" ht="42" customHeight="1">
      <c r="A123" s="5"/>
      <c r="B123" s="5"/>
      <c r="C123" s="5"/>
      <c r="D123" s="5"/>
      <c r="E123" s="5"/>
      <c r="F123" s="5"/>
      <c r="G123" s="5"/>
      <c r="H123" s="6"/>
      <c r="I123" s="5"/>
      <c r="J123" s="5"/>
      <c r="K123" s="5"/>
      <c r="L123" s="5"/>
      <c r="M123" s="5"/>
      <c r="N123" s="5"/>
    </row>
    <row r="124" spans="1:14" ht="42" customHeight="1">
      <c r="A124" s="5"/>
      <c r="B124" s="5"/>
      <c r="C124" s="5"/>
      <c r="D124" s="5"/>
      <c r="E124" s="5"/>
      <c r="F124" s="5"/>
      <c r="G124" s="5"/>
      <c r="H124" s="6"/>
      <c r="I124" s="5"/>
      <c r="J124" s="5"/>
      <c r="K124" s="5"/>
      <c r="L124" s="5"/>
      <c r="M124" s="5"/>
      <c r="N124" s="5"/>
    </row>
    <row r="125" spans="1:14" ht="42" customHeight="1">
      <c r="A125" s="5"/>
      <c r="B125" s="5"/>
      <c r="C125" s="5"/>
      <c r="D125" s="5"/>
      <c r="E125" s="5"/>
      <c r="F125" s="5"/>
      <c r="G125" s="5"/>
      <c r="H125" s="6"/>
      <c r="I125" s="5"/>
      <c r="J125" s="5"/>
      <c r="K125" s="5"/>
      <c r="L125" s="5"/>
      <c r="M125" s="5"/>
      <c r="N125" s="5"/>
    </row>
    <row r="126" spans="1:14" ht="42" customHeight="1">
      <c r="A126" s="5"/>
      <c r="B126" s="5"/>
      <c r="C126" s="5"/>
      <c r="D126" s="5"/>
      <c r="E126" s="5"/>
      <c r="F126" s="5"/>
      <c r="G126" s="5"/>
      <c r="H126" s="6"/>
      <c r="I126" s="5"/>
      <c r="J126" s="5"/>
      <c r="K126" s="5"/>
      <c r="L126" s="5"/>
      <c r="M126" s="5"/>
      <c r="N126" s="5"/>
    </row>
    <row r="127" spans="1:14" ht="42" customHeight="1">
      <c r="A127" s="5"/>
      <c r="B127" s="5"/>
      <c r="C127" s="5"/>
      <c r="D127" s="5"/>
      <c r="E127" s="5"/>
      <c r="F127" s="5"/>
      <c r="G127" s="5"/>
      <c r="H127" s="6"/>
      <c r="I127" s="5"/>
      <c r="J127" s="5"/>
      <c r="K127" s="5"/>
      <c r="L127" s="5"/>
      <c r="M127" s="5"/>
      <c r="N127" s="5"/>
    </row>
    <row r="128" spans="1:14" ht="42" customHeight="1">
      <c r="A128" s="5"/>
      <c r="B128" s="5"/>
      <c r="C128" s="5"/>
      <c r="D128" s="5"/>
      <c r="E128" s="5"/>
      <c r="F128" s="5"/>
      <c r="G128" s="5"/>
      <c r="H128" s="6"/>
      <c r="I128" s="5"/>
      <c r="J128" s="5"/>
      <c r="K128" s="5"/>
      <c r="L128" s="5"/>
      <c r="M128" s="5"/>
      <c r="N128" s="5"/>
    </row>
    <row r="129" spans="1:14" ht="42" customHeight="1">
      <c r="A129" s="5"/>
      <c r="B129" s="5"/>
      <c r="C129" s="5"/>
      <c r="D129" s="5"/>
      <c r="E129" s="5"/>
      <c r="F129" s="5"/>
      <c r="G129" s="5"/>
      <c r="H129" s="6"/>
      <c r="I129" s="5"/>
      <c r="J129" s="5"/>
      <c r="K129" s="5"/>
      <c r="L129" s="5"/>
      <c r="M129" s="5"/>
      <c r="N129" s="5"/>
    </row>
    <row r="130" spans="1:14" ht="42" customHeight="1">
      <c r="A130" s="5"/>
      <c r="B130" s="5"/>
      <c r="C130" s="5"/>
      <c r="D130" s="5"/>
      <c r="E130" s="5"/>
      <c r="F130" s="5"/>
      <c r="G130" s="5"/>
      <c r="H130" s="6"/>
      <c r="I130" s="5"/>
      <c r="J130" s="5"/>
      <c r="K130" s="5"/>
      <c r="L130" s="5"/>
      <c r="M130" s="5"/>
      <c r="N130" s="5"/>
    </row>
    <row r="131" spans="1:14" ht="42" customHeight="1">
      <c r="A131" s="5"/>
      <c r="B131" s="5"/>
      <c r="C131" s="5"/>
      <c r="D131" s="5"/>
      <c r="E131" s="5"/>
      <c r="F131" s="5"/>
      <c r="G131" s="5"/>
      <c r="H131" s="6"/>
      <c r="I131" s="5"/>
      <c r="J131" s="5"/>
      <c r="K131" s="5"/>
      <c r="L131" s="5"/>
      <c r="M131" s="5"/>
      <c r="N131" s="5"/>
    </row>
    <row r="132" spans="1:14" ht="42" customHeight="1">
      <c r="A132" s="5"/>
      <c r="B132" s="5"/>
      <c r="C132" s="5"/>
      <c r="D132" s="5"/>
      <c r="E132" s="5"/>
      <c r="F132" s="5"/>
      <c r="G132" s="5"/>
      <c r="H132" s="6"/>
      <c r="I132" s="5"/>
      <c r="J132" s="5"/>
      <c r="K132" s="5"/>
      <c r="L132" s="5"/>
      <c r="M132" s="5"/>
      <c r="N132" s="5"/>
    </row>
    <row r="133" spans="1:14" ht="42" customHeight="1">
      <c r="A133" s="5"/>
      <c r="B133" s="5"/>
      <c r="C133" s="5"/>
      <c r="D133" s="5"/>
      <c r="E133" s="5"/>
      <c r="F133" s="5"/>
      <c r="G133" s="5"/>
      <c r="H133" s="6"/>
      <c r="I133" s="5"/>
      <c r="J133" s="5"/>
      <c r="K133" s="5"/>
      <c r="L133" s="5"/>
      <c r="M133" s="5"/>
      <c r="N133" s="5"/>
    </row>
    <row r="134" spans="1:14" ht="42" customHeight="1">
      <c r="A134" s="5"/>
      <c r="B134" s="5"/>
      <c r="C134" s="5"/>
      <c r="D134" s="5"/>
      <c r="E134" s="5"/>
      <c r="F134" s="5"/>
      <c r="G134" s="5"/>
      <c r="H134" s="6"/>
      <c r="I134" s="5"/>
      <c r="J134" s="5"/>
      <c r="K134" s="5"/>
      <c r="L134" s="5"/>
      <c r="M134" s="5"/>
      <c r="N134" s="5"/>
    </row>
    <row r="135" spans="1:14" ht="42" customHeight="1">
      <c r="A135" s="5"/>
      <c r="B135" s="5"/>
      <c r="C135" s="5"/>
      <c r="D135" s="5"/>
      <c r="E135" s="5"/>
      <c r="F135" s="5"/>
      <c r="G135" s="5"/>
      <c r="H135" s="6"/>
      <c r="I135" s="5"/>
      <c r="J135" s="5"/>
      <c r="K135" s="5"/>
      <c r="L135" s="5"/>
      <c r="M135" s="5"/>
      <c r="N135" s="5"/>
    </row>
    <row r="136" spans="1:14" ht="42" customHeight="1">
      <c r="A136" s="5"/>
      <c r="B136" s="5"/>
      <c r="C136" s="5"/>
      <c r="D136" s="5"/>
      <c r="E136" s="5"/>
      <c r="F136" s="5"/>
      <c r="G136" s="5"/>
      <c r="H136" s="6"/>
      <c r="I136" s="5"/>
      <c r="J136" s="5"/>
      <c r="K136" s="5"/>
      <c r="L136" s="5"/>
      <c r="M136" s="5"/>
      <c r="N136" s="5"/>
    </row>
    <row r="137" spans="1:14" ht="42" customHeight="1">
      <c r="A137" s="5"/>
      <c r="B137" s="5"/>
      <c r="C137" s="5"/>
      <c r="D137" s="5"/>
      <c r="E137" s="5"/>
      <c r="F137" s="5"/>
      <c r="G137" s="5"/>
      <c r="H137" s="6"/>
      <c r="I137" s="5"/>
      <c r="J137" s="5"/>
      <c r="K137" s="5"/>
      <c r="L137" s="5"/>
      <c r="M137" s="5"/>
      <c r="N137" s="5"/>
    </row>
    <row r="138" spans="1:14" ht="42" customHeight="1">
      <c r="A138" s="5"/>
      <c r="B138" s="5"/>
      <c r="C138" s="5"/>
      <c r="D138" s="5"/>
      <c r="E138" s="5"/>
      <c r="F138" s="5"/>
      <c r="G138" s="5"/>
      <c r="H138" s="6"/>
      <c r="I138" s="5"/>
      <c r="J138" s="5"/>
      <c r="K138" s="5"/>
      <c r="L138" s="5"/>
      <c r="M138" s="5"/>
      <c r="N138" s="5"/>
    </row>
    <row r="139" spans="1:14" ht="42" customHeight="1">
      <c r="A139" s="5"/>
      <c r="B139" s="5"/>
      <c r="C139" s="5"/>
      <c r="D139" s="5"/>
      <c r="E139" s="5"/>
      <c r="F139" s="5"/>
      <c r="G139" s="5"/>
      <c r="H139" s="6"/>
      <c r="I139" s="5"/>
      <c r="J139" s="5"/>
      <c r="K139" s="5"/>
      <c r="L139" s="5"/>
      <c r="M139" s="5"/>
      <c r="N139" s="5"/>
    </row>
    <row r="140" spans="1:14" ht="42" customHeight="1">
      <c r="A140" s="5"/>
      <c r="B140" s="5"/>
      <c r="C140" s="5"/>
      <c r="D140" s="5"/>
      <c r="E140" s="5"/>
      <c r="F140" s="5"/>
      <c r="G140" s="5"/>
      <c r="H140" s="6"/>
      <c r="I140" s="5"/>
      <c r="J140" s="5"/>
      <c r="K140" s="5"/>
      <c r="L140" s="5"/>
      <c r="M140" s="5"/>
      <c r="N140" s="5"/>
    </row>
    <row r="141" spans="1:14" ht="42" customHeight="1">
      <c r="A141" s="5"/>
      <c r="B141" s="5"/>
      <c r="C141" s="5"/>
      <c r="D141" s="5"/>
      <c r="E141" s="5"/>
      <c r="F141" s="5"/>
      <c r="G141" s="5"/>
      <c r="H141" s="6"/>
      <c r="I141" s="5"/>
      <c r="J141" s="5"/>
      <c r="K141" s="5"/>
      <c r="L141" s="5"/>
      <c r="M141" s="5"/>
      <c r="N141" s="5"/>
    </row>
    <row r="142" spans="1:14" ht="42" customHeight="1">
      <c r="A142" s="5"/>
      <c r="B142" s="5"/>
      <c r="C142" s="5"/>
      <c r="D142" s="5"/>
      <c r="E142" s="5"/>
      <c r="F142" s="5"/>
      <c r="G142" s="5"/>
      <c r="H142" s="6"/>
      <c r="I142" s="5"/>
      <c r="J142" s="5"/>
      <c r="K142" s="5"/>
      <c r="L142" s="5"/>
      <c r="M142" s="5"/>
      <c r="N142" s="5"/>
    </row>
    <row r="143" spans="1:14" ht="42" customHeight="1">
      <c r="A143" s="5"/>
      <c r="B143" s="5"/>
      <c r="C143" s="5"/>
      <c r="D143" s="5"/>
      <c r="E143" s="5"/>
      <c r="F143" s="5"/>
      <c r="G143" s="5"/>
      <c r="H143" s="6"/>
      <c r="I143" s="5"/>
      <c r="J143" s="5"/>
      <c r="K143" s="5"/>
      <c r="L143" s="5"/>
      <c r="M143" s="5"/>
      <c r="N143" s="5"/>
    </row>
    <row r="144" spans="1:14" ht="42" customHeight="1">
      <c r="A144" s="5"/>
      <c r="B144" s="5"/>
      <c r="C144" s="5"/>
      <c r="D144" s="5"/>
      <c r="E144" s="5"/>
      <c r="F144" s="5"/>
      <c r="G144" s="5"/>
      <c r="H144" s="6"/>
      <c r="I144" s="5"/>
      <c r="J144" s="5"/>
      <c r="K144" s="5"/>
      <c r="L144" s="5"/>
      <c r="M144" s="5"/>
      <c r="N144" s="5"/>
    </row>
    <row r="145" spans="1:14" ht="42" customHeight="1">
      <c r="A145" s="5"/>
      <c r="B145" s="5"/>
      <c r="C145" s="5"/>
      <c r="D145" s="5"/>
      <c r="E145" s="5"/>
      <c r="F145" s="5"/>
      <c r="G145" s="5"/>
      <c r="H145" s="6"/>
      <c r="I145" s="5"/>
      <c r="J145" s="5"/>
      <c r="K145" s="5"/>
      <c r="L145" s="5"/>
      <c r="M145" s="5"/>
      <c r="N145" s="5"/>
    </row>
    <row r="146" spans="1:14" ht="42" customHeight="1">
      <c r="A146" s="5"/>
      <c r="B146" s="5"/>
      <c r="C146" s="5"/>
      <c r="D146" s="5"/>
      <c r="E146" s="5"/>
      <c r="F146" s="5"/>
      <c r="G146" s="5"/>
      <c r="H146" s="6"/>
      <c r="I146" s="5"/>
      <c r="J146" s="5"/>
      <c r="K146" s="5"/>
      <c r="L146" s="5"/>
      <c r="M146" s="5"/>
      <c r="N146" s="5"/>
    </row>
    <row r="147" spans="1:14" ht="42" customHeight="1">
      <c r="A147" s="5"/>
      <c r="B147" s="5"/>
      <c r="C147" s="5"/>
      <c r="D147" s="5"/>
      <c r="E147" s="5"/>
      <c r="F147" s="5"/>
      <c r="G147" s="5"/>
      <c r="H147" s="6"/>
      <c r="I147" s="5"/>
      <c r="J147" s="5"/>
      <c r="K147" s="5"/>
      <c r="L147" s="5"/>
      <c r="M147" s="5"/>
      <c r="N147" s="5"/>
    </row>
    <row r="148" spans="1:14" ht="42" customHeight="1">
      <c r="A148" s="5"/>
      <c r="B148" s="5"/>
      <c r="C148" s="5"/>
      <c r="D148" s="5"/>
      <c r="E148" s="5"/>
      <c r="F148" s="5"/>
      <c r="G148" s="5"/>
      <c r="H148" s="6"/>
      <c r="I148" s="5"/>
      <c r="J148" s="5"/>
      <c r="K148" s="5"/>
      <c r="L148" s="5"/>
      <c r="M148" s="5"/>
      <c r="N148" s="5"/>
    </row>
    <row r="149" spans="1:14" ht="42" customHeight="1">
      <c r="A149" s="5"/>
      <c r="B149" s="5"/>
      <c r="C149" s="5"/>
      <c r="D149" s="5"/>
      <c r="E149" s="5"/>
      <c r="F149" s="5"/>
      <c r="G149" s="5"/>
      <c r="H149" s="6"/>
      <c r="I149" s="5"/>
      <c r="J149" s="5"/>
      <c r="K149" s="5"/>
      <c r="L149" s="5"/>
      <c r="M149" s="5"/>
      <c r="N149" s="5"/>
    </row>
    <row r="150" spans="1:14" ht="42" customHeight="1">
      <c r="A150" s="5"/>
      <c r="B150" s="5"/>
      <c r="C150" s="5"/>
      <c r="D150" s="5"/>
      <c r="E150" s="5"/>
      <c r="F150" s="5"/>
      <c r="G150" s="5"/>
      <c r="H150" s="6"/>
      <c r="I150" s="5"/>
      <c r="J150" s="5"/>
      <c r="K150" s="5"/>
      <c r="L150" s="5"/>
      <c r="M150" s="5"/>
      <c r="N150" s="5"/>
    </row>
    <row r="151" spans="1:14" ht="42" customHeight="1">
      <c r="A151" s="5"/>
      <c r="B151" s="5"/>
      <c r="C151" s="5"/>
      <c r="D151" s="5"/>
      <c r="E151" s="5"/>
      <c r="F151" s="5"/>
      <c r="G151" s="5"/>
      <c r="H151" s="6"/>
      <c r="I151" s="5"/>
      <c r="J151" s="5"/>
      <c r="K151" s="5"/>
      <c r="L151" s="5"/>
      <c r="M151" s="5"/>
      <c r="N151" s="5"/>
    </row>
    <row r="152" spans="1:14" ht="42" customHeight="1">
      <c r="A152" s="5"/>
      <c r="B152" s="5"/>
      <c r="C152" s="5"/>
      <c r="D152" s="5"/>
      <c r="E152" s="5"/>
      <c r="F152" s="5"/>
      <c r="G152" s="5"/>
      <c r="H152" s="6"/>
      <c r="I152" s="5"/>
      <c r="J152" s="5"/>
      <c r="K152" s="5"/>
      <c r="L152" s="5"/>
      <c r="M152" s="5"/>
      <c r="N152" s="5"/>
    </row>
    <row r="153" spans="1:14" ht="42" customHeight="1">
      <c r="A153" s="5"/>
      <c r="B153" s="5"/>
      <c r="C153" s="5"/>
      <c r="D153" s="5"/>
      <c r="E153" s="5"/>
      <c r="F153" s="5"/>
      <c r="G153" s="5"/>
      <c r="H153" s="6"/>
      <c r="I153" s="5"/>
      <c r="J153" s="5"/>
      <c r="K153" s="5"/>
      <c r="L153" s="5"/>
      <c r="M153" s="5"/>
      <c r="N153" s="5"/>
    </row>
    <row r="154" spans="1:14" ht="42" customHeight="1">
      <c r="A154" s="5"/>
      <c r="B154" s="5"/>
      <c r="C154" s="5"/>
      <c r="D154" s="5"/>
      <c r="E154" s="5"/>
      <c r="F154" s="5"/>
      <c r="G154" s="5"/>
      <c r="H154" s="6"/>
      <c r="I154" s="5"/>
      <c r="J154" s="5"/>
      <c r="K154" s="5"/>
      <c r="L154" s="5"/>
      <c r="M154" s="5"/>
      <c r="N154" s="5"/>
    </row>
    <row r="155" spans="1:14" ht="42" customHeight="1">
      <c r="A155" s="5"/>
      <c r="B155" s="5"/>
      <c r="C155" s="5"/>
      <c r="D155" s="5"/>
      <c r="E155" s="5"/>
      <c r="F155" s="5"/>
      <c r="G155" s="5"/>
      <c r="H155" s="6"/>
      <c r="I155" s="5"/>
      <c r="J155" s="5"/>
      <c r="K155" s="5"/>
      <c r="L155" s="5"/>
      <c r="M155" s="5"/>
      <c r="N155" s="5"/>
    </row>
    <row r="156" spans="1:14" ht="42" customHeight="1">
      <c r="A156" s="5"/>
      <c r="B156" s="5"/>
      <c r="C156" s="5"/>
      <c r="D156" s="5"/>
      <c r="E156" s="5"/>
      <c r="F156" s="5"/>
      <c r="G156" s="5"/>
      <c r="H156" s="6"/>
      <c r="I156" s="5"/>
      <c r="J156" s="5"/>
      <c r="K156" s="5"/>
      <c r="L156" s="5"/>
      <c r="M156" s="5"/>
      <c r="N156" s="5"/>
    </row>
    <row r="157" spans="1:14" ht="42" customHeight="1">
      <c r="A157" s="5"/>
      <c r="B157" s="5"/>
      <c r="C157" s="5"/>
      <c r="D157" s="5"/>
      <c r="E157" s="5"/>
      <c r="F157" s="5"/>
      <c r="G157" s="5"/>
      <c r="H157" s="6"/>
      <c r="I157" s="5"/>
      <c r="J157" s="5"/>
      <c r="K157" s="5"/>
      <c r="L157" s="5"/>
      <c r="M157" s="5"/>
      <c r="N157" s="5"/>
    </row>
    <row r="158" spans="1:14" ht="42" customHeight="1">
      <c r="A158" s="5"/>
      <c r="B158" s="5"/>
      <c r="C158" s="5"/>
      <c r="D158" s="5"/>
      <c r="E158" s="5"/>
      <c r="F158" s="5"/>
      <c r="G158" s="5"/>
      <c r="H158" s="6"/>
      <c r="I158" s="5"/>
      <c r="J158" s="5"/>
      <c r="K158" s="5"/>
      <c r="L158" s="5"/>
      <c r="M158" s="5"/>
      <c r="N158" s="5"/>
    </row>
    <row r="159" spans="1:14" ht="42" customHeight="1">
      <c r="A159" s="5"/>
      <c r="B159" s="5"/>
      <c r="C159" s="5"/>
      <c r="D159" s="5"/>
      <c r="E159" s="5"/>
      <c r="F159" s="5"/>
      <c r="G159" s="5"/>
      <c r="H159" s="6"/>
      <c r="I159" s="5"/>
      <c r="J159" s="5"/>
      <c r="K159" s="5"/>
      <c r="L159" s="5"/>
      <c r="M159" s="5"/>
      <c r="N159" s="5"/>
    </row>
    <row r="160" spans="1:14" ht="42" customHeight="1">
      <c r="A160" s="5"/>
      <c r="B160" s="5"/>
      <c r="C160" s="5"/>
      <c r="D160" s="5"/>
      <c r="E160" s="5"/>
      <c r="F160" s="5"/>
      <c r="G160" s="5"/>
      <c r="H160" s="6"/>
      <c r="I160" s="5"/>
      <c r="J160" s="5"/>
      <c r="K160" s="5"/>
      <c r="L160" s="5"/>
      <c r="M160" s="5"/>
      <c r="N160" s="5"/>
    </row>
    <row r="161" spans="1:14" ht="42" customHeight="1">
      <c r="A161" s="5"/>
      <c r="B161" s="5"/>
      <c r="C161" s="5"/>
      <c r="D161" s="5"/>
      <c r="E161" s="5"/>
      <c r="F161" s="5"/>
      <c r="G161" s="5"/>
      <c r="H161" s="6"/>
      <c r="I161" s="5"/>
      <c r="J161" s="5"/>
      <c r="K161" s="5"/>
      <c r="L161" s="5"/>
      <c r="M161" s="5"/>
      <c r="N161" s="5"/>
    </row>
    <row r="162" spans="1:14" ht="42" customHeight="1">
      <c r="A162" s="5"/>
      <c r="B162" s="5"/>
      <c r="C162" s="5"/>
      <c r="D162" s="5"/>
      <c r="E162" s="5"/>
      <c r="F162" s="5"/>
      <c r="G162" s="5"/>
      <c r="H162" s="6"/>
      <c r="I162" s="5"/>
      <c r="J162" s="5"/>
      <c r="K162" s="5"/>
      <c r="L162" s="5"/>
      <c r="M162" s="5"/>
      <c r="N162" s="5"/>
    </row>
    <row r="163" spans="1:14" ht="42" customHeight="1">
      <c r="A163" s="5"/>
      <c r="B163" s="5"/>
      <c r="C163" s="5"/>
      <c r="D163" s="5"/>
      <c r="E163" s="5"/>
      <c r="F163" s="5"/>
      <c r="G163" s="5"/>
      <c r="H163" s="6"/>
      <c r="I163" s="5"/>
      <c r="J163" s="5"/>
      <c r="K163" s="5"/>
      <c r="L163" s="5"/>
      <c r="M163" s="5"/>
      <c r="N163" s="5"/>
    </row>
    <row r="164" spans="1:14" ht="42" customHeight="1">
      <c r="A164" s="5"/>
      <c r="B164" s="5"/>
      <c r="C164" s="5"/>
      <c r="D164" s="5"/>
      <c r="E164" s="5"/>
      <c r="F164" s="5"/>
      <c r="G164" s="5"/>
      <c r="H164" s="6"/>
      <c r="I164" s="5"/>
      <c r="J164" s="5"/>
      <c r="K164" s="5"/>
      <c r="L164" s="5"/>
      <c r="M164" s="5"/>
      <c r="N164" s="5"/>
    </row>
    <row r="165" spans="1:14" ht="42" customHeight="1">
      <c r="A165" s="5"/>
      <c r="B165" s="5"/>
      <c r="C165" s="5"/>
      <c r="D165" s="5"/>
      <c r="E165" s="5"/>
      <c r="F165" s="5"/>
      <c r="G165" s="5"/>
      <c r="H165" s="6"/>
      <c r="I165" s="5"/>
      <c r="J165" s="5"/>
      <c r="K165" s="5"/>
      <c r="L165" s="5"/>
      <c r="M165" s="5"/>
      <c r="N165" s="5"/>
    </row>
    <row r="166" spans="1:14" ht="42" customHeight="1">
      <c r="A166" s="5"/>
      <c r="B166" s="5"/>
      <c r="C166" s="5"/>
      <c r="D166" s="5"/>
      <c r="E166" s="5"/>
      <c r="F166" s="5"/>
      <c r="G166" s="5"/>
      <c r="H166" s="6"/>
      <c r="I166" s="5"/>
      <c r="J166" s="5"/>
      <c r="K166" s="5"/>
      <c r="L166" s="5"/>
      <c r="M166" s="5"/>
      <c r="N166" s="5"/>
    </row>
    <row r="167" spans="1:14" ht="42" customHeight="1">
      <c r="A167" s="5"/>
      <c r="B167" s="5"/>
      <c r="C167" s="5"/>
      <c r="D167" s="5"/>
      <c r="E167" s="5"/>
      <c r="F167" s="5"/>
      <c r="G167" s="5"/>
      <c r="H167" s="6"/>
      <c r="I167" s="5"/>
      <c r="J167" s="5"/>
      <c r="K167" s="5"/>
      <c r="L167" s="5"/>
      <c r="M167" s="5"/>
      <c r="N167" s="5"/>
    </row>
    <row r="168" spans="1:14" ht="42" customHeight="1">
      <c r="A168" s="5"/>
      <c r="B168" s="5"/>
      <c r="C168" s="5"/>
      <c r="D168" s="5"/>
      <c r="E168" s="5"/>
      <c r="F168" s="5"/>
      <c r="G168" s="5"/>
      <c r="H168" s="6"/>
      <c r="I168" s="5"/>
      <c r="J168" s="5"/>
      <c r="K168" s="5"/>
      <c r="L168" s="5"/>
      <c r="M168" s="5"/>
      <c r="N168" s="5"/>
    </row>
    <row r="169" spans="1:14" ht="42" customHeight="1">
      <c r="A169" s="5"/>
      <c r="B169" s="5"/>
      <c r="C169" s="5"/>
      <c r="D169" s="5"/>
      <c r="E169" s="5"/>
      <c r="F169" s="5"/>
      <c r="G169" s="5"/>
      <c r="H169" s="6"/>
      <c r="I169" s="5"/>
      <c r="J169" s="5"/>
      <c r="K169" s="5"/>
      <c r="L169" s="5"/>
      <c r="M169" s="5"/>
      <c r="N169" s="5"/>
    </row>
    <row r="170" spans="1:14" ht="42" customHeight="1">
      <c r="A170" s="5"/>
      <c r="B170" s="5"/>
      <c r="C170" s="5"/>
      <c r="D170" s="5"/>
      <c r="E170" s="5"/>
      <c r="F170" s="5"/>
      <c r="G170" s="5"/>
      <c r="H170" s="6"/>
      <c r="I170" s="5"/>
      <c r="J170" s="5"/>
      <c r="K170" s="5"/>
      <c r="L170" s="5"/>
      <c r="M170" s="5"/>
      <c r="N170" s="5"/>
    </row>
    <row r="171" spans="1:14" ht="42" customHeight="1">
      <c r="A171" s="5"/>
      <c r="B171" s="5"/>
      <c r="C171" s="5"/>
      <c r="D171" s="5"/>
      <c r="E171" s="5"/>
      <c r="F171" s="5"/>
      <c r="G171" s="5"/>
      <c r="H171" s="6"/>
      <c r="I171" s="5"/>
      <c r="J171" s="5"/>
      <c r="K171" s="5"/>
      <c r="L171" s="5"/>
      <c r="M171" s="5"/>
      <c r="N171" s="5"/>
    </row>
    <row r="172" spans="1:14" ht="42" customHeight="1">
      <c r="A172" s="5"/>
      <c r="B172" s="5"/>
      <c r="C172" s="5"/>
      <c r="D172" s="5"/>
      <c r="E172" s="5"/>
      <c r="F172" s="5"/>
      <c r="G172" s="5"/>
      <c r="H172" s="6"/>
      <c r="I172" s="5"/>
      <c r="J172" s="5"/>
      <c r="K172" s="5"/>
      <c r="L172" s="5"/>
      <c r="M172" s="5"/>
      <c r="N172" s="5"/>
    </row>
    <row r="173" spans="1:14" ht="42" customHeight="1">
      <c r="A173" s="5"/>
      <c r="B173" s="5"/>
      <c r="C173" s="5"/>
      <c r="D173" s="5"/>
      <c r="E173" s="5"/>
      <c r="F173" s="5"/>
      <c r="G173" s="5"/>
      <c r="H173" s="6"/>
      <c r="I173" s="5"/>
      <c r="J173" s="5"/>
      <c r="K173" s="5"/>
      <c r="L173" s="5"/>
      <c r="M173" s="5"/>
      <c r="N173" s="5"/>
    </row>
    <row r="174" spans="1:14" ht="42" customHeight="1">
      <c r="A174" s="5"/>
      <c r="B174" s="5"/>
      <c r="C174" s="5"/>
      <c r="D174" s="5"/>
      <c r="E174" s="5"/>
      <c r="F174" s="5"/>
      <c r="G174" s="5"/>
      <c r="H174" s="6"/>
      <c r="I174" s="5"/>
      <c r="J174" s="5"/>
      <c r="K174" s="5"/>
      <c r="L174" s="5"/>
      <c r="M174" s="5"/>
      <c r="N174" s="5"/>
    </row>
    <row r="175" spans="1:14" ht="42" customHeight="1">
      <c r="A175" s="5"/>
      <c r="B175" s="5"/>
      <c r="C175" s="5"/>
      <c r="D175" s="5"/>
      <c r="E175" s="5"/>
      <c r="F175" s="5"/>
      <c r="G175" s="5"/>
      <c r="H175" s="6"/>
      <c r="I175" s="5"/>
      <c r="J175" s="5"/>
      <c r="K175" s="5"/>
      <c r="L175" s="5"/>
      <c r="M175" s="5"/>
      <c r="N175" s="5"/>
    </row>
    <row r="176" spans="1:14" ht="42" customHeight="1">
      <c r="A176" s="5"/>
      <c r="B176" s="5"/>
      <c r="C176" s="5"/>
      <c r="D176" s="5"/>
      <c r="E176" s="5"/>
      <c r="F176" s="5"/>
      <c r="G176" s="5"/>
      <c r="H176" s="6"/>
      <c r="I176" s="5"/>
      <c r="J176" s="5"/>
      <c r="K176" s="5"/>
      <c r="L176" s="5"/>
      <c r="M176" s="5"/>
      <c r="N176" s="5"/>
    </row>
    <row r="177" spans="1:14" ht="42" customHeight="1">
      <c r="A177" s="5"/>
      <c r="B177" s="5"/>
      <c r="C177" s="5"/>
      <c r="D177" s="5"/>
      <c r="E177" s="5"/>
      <c r="F177" s="5"/>
      <c r="G177" s="5"/>
      <c r="H177" s="6"/>
      <c r="I177" s="5"/>
      <c r="J177" s="5"/>
      <c r="K177" s="5"/>
      <c r="L177" s="5"/>
      <c r="M177" s="5"/>
      <c r="N177" s="5"/>
    </row>
    <row r="178" spans="1:14" ht="42" customHeight="1">
      <c r="A178" s="5"/>
      <c r="B178" s="5"/>
      <c r="C178" s="5"/>
      <c r="D178" s="5"/>
      <c r="E178" s="5"/>
      <c r="F178" s="5"/>
      <c r="G178" s="5"/>
      <c r="H178" s="6"/>
      <c r="I178" s="5"/>
      <c r="J178" s="5"/>
      <c r="K178" s="5"/>
      <c r="L178" s="5"/>
      <c r="M178" s="5"/>
      <c r="N178" s="5"/>
    </row>
    <row r="179" spans="1:14" ht="42" customHeight="1">
      <c r="A179" s="5"/>
      <c r="B179" s="5"/>
      <c r="C179" s="5"/>
      <c r="D179" s="5"/>
      <c r="E179" s="5"/>
      <c r="F179" s="5"/>
      <c r="G179" s="5"/>
      <c r="H179" s="6"/>
      <c r="I179" s="5"/>
      <c r="J179" s="5"/>
      <c r="K179" s="5"/>
      <c r="L179" s="5"/>
      <c r="M179" s="5"/>
      <c r="N179" s="5"/>
    </row>
    <row r="180" spans="1:14" ht="42" customHeight="1">
      <c r="A180" s="5"/>
      <c r="B180" s="5"/>
      <c r="C180" s="5"/>
      <c r="D180" s="5"/>
      <c r="E180" s="5"/>
      <c r="F180" s="5"/>
      <c r="G180" s="5"/>
      <c r="H180" s="6"/>
      <c r="I180" s="5"/>
      <c r="J180" s="5"/>
      <c r="K180" s="5"/>
      <c r="L180" s="5"/>
      <c r="M180" s="5"/>
      <c r="N180" s="5"/>
    </row>
    <row r="181" spans="1:14" ht="42" customHeight="1">
      <c r="A181" s="5"/>
      <c r="B181" s="5"/>
      <c r="C181" s="5"/>
      <c r="D181" s="5"/>
      <c r="E181" s="5"/>
      <c r="F181" s="5"/>
      <c r="G181" s="5"/>
      <c r="H181" s="6"/>
      <c r="I181" s="5"/>
      <c r="J181" s="5"/>
      <c r="K181" s="5"/>
      <c r="L181" s="5"/>
      <c r="M181" s="5"/>
      <c r="N181" s="5"/>
    </row>
    <row r="182" spans="1:14" ht="42" customHeight="1">
      <c r="A182" s="5"/>
      <c r="B182" s="5"/>
      <c r="C182" s="5"/>
      <c r="D182" s="5"/>
      <c r="E182" s="5"/>
      <c r="F182" s="5"/>
      <c r="G182" s="5"/>
      <c r="H182" s="6"/>
      <c r="I182" s="5"/>
      <c r="J182" s="5"/>
      <c r="K182" s="5"/>
      <c r="L182" s="5"/>
      <c r="M182" s="5"/>
      <c r="N182" s="5"/>
    </row>
    <row r="183" spans="1:14" ht="42" customHeight="1">
      <c r="A183" s="5"/>
      <c r="B183" s="5"/>
      <c r="C183" s="5"/>
      <c r="D183" s="5"/>
      <c r="E183" s="5"/>
      <c r="F183" s="5"/>
      <c r="G183" s="5"/>
      <c r="H183" s="6"/>
      <c r="I183" s="5"/>
      <c r="J183" s="5"/>
      <c r="K183" s="5"/>
      <c r="L183" s="5"/>
      <c r="M183" s="5"/>
      <c r="N183" s="5"/>
    </row>
    <row r="184" spans="1:14" ht="42" customHeight="1">
      <c r="A184" s="5"/>
      <c r="B184" s="5"/>
      <c r="C184" s="5"/>
      <c r="D184" s="5"/>
      <c r="E184" s="5"/>
      <c r="F184" s="5"/>
      <c r="G184" s="5"/>
      <c r="H184" s="6"/>
      <c r="I184" s="5"/>
      <c r="J184" s="5"/>
      <c r="K184" s="5"/>
      <c r="L184" s="5"/>
      <c r="M184" s="5"/>
      <c r="N184" s="5"/>
    </row>
    <row r="185" spans="1:14" ht="42" customHeight="1">
      <c r="A185" s="5"/>
      <c r="B185" s="5"/>
      <c r="C185" s="5"/>
      <c r="D185" s="5"/>
      <c r="E185" s="5"/>
      <c r="F185" s="5"/>
      <c r="G185" s="5"/>
      <c r="H185" s="6"/>
      <c r="I185" s="5"/>
      <c r="J185" s="5"/>
      <c r="K185" s="5"/>
      <c r="L185" s="5"/>
      <c r="M185" s="5"/>
      <c r="N185" s="5"/>
    </row>
    <row r="186" spans="1:14" ht="42" customHeight="1">
      <c r="A186" s="5"/>
      <c r="B186" s="5"/>
      <c r="C186" s="5"/>
      <c r="D186" s="5"/>
      <c r="E186" s="5"/>
      <c r="F186" s="5"/>
      <c r="G186" s="5"/>
      <c r="H186" s="6"/>
      <c r="I186" s="5"/>
      <c r="J186" s="5"/>
      <c r="K186" s="5"/>
      <c r="L186" s="5"/>
      <c r="M186" s="5"/>
      <c r="N186" s="5"/>
    </row>
    <row r="187" spans="1:14" ht="42" customHeight="1">
      <c r="A187" s="5"/>
      <c r="B187" s="5"/>
      <c r="C187" s="5"/>
      <c r="D187" s="5"/>
      <c r="E187" s="5"/>
      <c r="F187" s="5"/>
      <c r="G187" s="5"/>
      <c r="H187" s="6"/>
      <c r="I187" s="5"/>
      <c r="J187" s="5"/>
      <c r="K187" s="5"/>
      <c r="L187" s="5"/>
      <c r="M187" s="5"/>
      <c r="N187" s="5"/>
    </row>
    <row r="188" spans="1:14" ht="42" customHeight="1">
      <c r="A188" s="5"/>
      <c r="B188" s="5"/>
      <c r="C188" s="5"/>
      <c r="D188" s="5"/>
      <c r="E188" s="5"/>
      <c r="F188" s="5"/>
      <c r="G188" s="5"/>
      <c r="H188" s="6"/>
      <c r="I188" s="5"/>
      <c r="J188" s="5"/>
      <c r="K188" s="5"/>
      <c r="L188" s="5"/>
      <c r="M188" s="5"/>
      <c r="N188" s="5"/>
    </row>
    <row r="189" spans="1:14" ht="42" customHeight="1">
      <c r="A189" s="5"/>
      <c r="B189" s="5"/>
      <c r="C189" s="5"/>
      <c r="D189" s="5"/>
      <c r="E189" s="5"/>
      <c r="F189" s="5"/>
      <c r="G189" s="5"/>
      <c r="H189" s="6"/>
      <c r="I189" s="5"/>
      <c r="J189" s="5"/>
      <c r="K189" s="5"/>
      <c r="L189" s="5"/>
      <c r="M189" s="5"/>
      <c r="N189" s="5"/>
    </row>
    <row r="190" spans="1:14" ht="42" customHeight="1">
      <c r="A190" s="5"/>
      <c r="B190" s="5"/>
      <c r="C190" s="5"/>
      <c r="D190" s="5"/>
      <c r="E190" s="5"/>
      <c r="F190" s="5"/>
      <c r="G190" s="5"/>
      <c r="H190" s="6"/>
      <c r="I190" s="5"/>
      <c r="J190" s="5"/>
      <c r="K190" s="5"/>
      <c r="L190" s="5"/>
      <c r="M190" s="5"/>
      <c r="N190" s="5"/>
    </row>
    <row r="191" spans="1:14" ht="42" customHeight="1">
      <c r="A191" s="5"/>
      <c r="B191" s="5"/>
      <c r="C191" s="5"/>
      <c r="D191" s="5"/>
      <c r="E191" s="5"/>
      <c r="F191" s="5"/>
      <c r="G191" s="5"/>
      <c r="H191" s="6"/>
      <c r="I191" s="5"/>
      <c r="J191" s="5"/>
      <c r="K191" s="5"/>
      <c r="L191" s="5"/>
      <c r="M191" s="5"/>
      <c r="N191" s="5"/>
    </row>
    <row r="192" spans="1:14" ht="42" customHeight="1">
      <c r="A192" s="5"/>
      <c r="B192" s="5"/>
      <c r="C192" s="5"/>
      <c r="D192" s="5"/>
      <c r="E192" s="5"/>
      <c r="F192" s="5"/>
      <c r="G192" s="5"/>
      <c r="H192" s="6"/>
      <c r="I192" s="5"/>
      <c r="J192" s="5"/>
      <c r="K192" s="5"/>
      <c r="L192" s="5"/>
      <c r="M192" s="5"/>
      <c r="N192" s="5"/>
    </row>
    <row r="193" spans="1:14" ht="42" customHeight="1">
      <c r="A193" s="5"/>
      <c r="B193" s="5"/>
      <c r="C193" s="5"/>
      <c r="D193" s="5"/>
      <c r="E193" s="5"/>
      <c r="F193" s="5"/>
      <c r="G193" s="5"/>
      <c r="H193" s="6"/>
      <c r="I193" s="5"/>
      <c r="J193" s="5"/>
      <c r="K193" s="5"/>
      <c r="L193" s="5"/>
      <c r="M193" s="5"/>
      <c r="N193" s="5"/>
    </row>
    <row r="194" spans="1:14" ht="42" customHeight="1">
      <c r="A194" s="5"/>
      <c r="B194" s="5"/>
      <c r="C194" s="5"/>
      <c r="D194" s="5"/>
      <c r="E194" s="5"/>
      <c r="F194" s="5"/>
      <c r="G194" s="5"/>
      <c r="H194" s="6"/>
      <c r="I194" s="5"/>
      <c r="J194" s="5"/>
      <c r="K194" s="5"/>
      <c r="L194" s="5"/>
      <c r="M194" s="5"/>
      <c r="N194" s="5"/>
    </row>
    <row r="195" spans="1:14" ht="42" customHeight="1">
      <c r="A195" s="5"/>
      <c r="B195" s="5"/>
      <c r="C195" s="5"/>
      <c r="D195" s="5"/>
      <c r="E195" s="5"/>
      <c r="F195" s="5"/>
      <c r="G195" s="5"/>
      <c r="H195" s="6"/>
      <c r="I195" s="5"/>
      <c r="J195" s="5"/>
      <c r="K195" s="5"/>
      <c r="L195" s="5"/>
      <c r="M195" s="5"/>
      <c r="N195" s="5"/>
    </row>
    <row r="196" spans="1:14" ht="42" customHeight="1">
      <c r="A196" s="5"/>
      <c r="B196" s="5"/>
      <c r="C196" s="5"/>
      <c r="D196" s="5"/>
      <c r="E196" s="5"/>
      <c r="F196" s="5"/>
      <c r="G196" s="5"/>
      <c r="H196" s="6"/>
      <c r="I196" s="5"/>
      <c r="J196" s="5"/>
      <c r="K196" s="5"/>
      <c r="L196" s="5"/>
      <c r="M196" s="5"/>
      <c r="N196" s="5"/>
    </row>
    <row r="197" spans="1:14" ht="42" customHeight="1">
      <c r="A197" s="5"/>
      <c r="B197" s="5"/>
      <c r="C197" s="5"/>
      <c r="D197" s="5"/>
      <c r="E197" s="5"/>
      <c r="F197" s="5"/>
      <c r="G197" s="5"/>
      <c r="H197" s="6"/>
      <c r="I197" s="5"/>
      <c r="J197" s="5"/>
      <c r="K197" s="5"/>
      <c r="L197" s="5"/>
      <c r="M197" s="5"/>
      <c r="N197" s="5"/>
    </row>
    <row r="198" spans="1:14" ht="42" customHeight="1">
      <c r="A198" s="5"/>
      <c r="B198" s="5"/>
      <c r="C198" s="5"/>
      <c r="D198" s="5"/>
      <c r="E198" s="5"/>
      <c r="F198" s="5"/>
      <c r="G198" s="5"/>
      <c r="H198" s="6"/>
      <c r="I198" s="5"/>
      <c r="J198" s="5"/>
      <c r="K198" s="5"/>
      <c r="L198" s="5"/>
      <c r="M198" s="5"/>
      <c r="N198" s="5"/>
    </row>
    <row r="199" spans="1:14" ht="42" customHeight="1">
      <c r="A199" s="5"/>
      <c r="B199" s="5"/>
      <c r="C199" s="5"/>
      <c r="D199" s="5"/>
      <c r="E199" s="5"/>
      <c r="F199" s="5"/>
      <c r="G199" s="5"/>
      <c r="H199" s="6"/>
      <c r="I199" s="5"/>
      <c r="J199" s="5"/>
      <c r="K199" s="5"/>
      <c r="L199" s="5"/>
      <c r="M199" s="5"/>
      <c r="N199" s="5"/>
    </row>
    <row r="200" spans="1:14" ht="42" customHeight="1">
      <c r="A200" s="5"/>
      <c r="B200" s="5"/>
      <c r="C200" s="5"/>
      <c r="D200" s="5"/>
      <c r="E200" s="5"/>
      <c r="F200" s="5"/>
      <c r="G200" s="5"/>
      <c r="H200" s="6"/>
      <c r="I200" s="5"/>
      <c r="J200" s="5"/>
      <c r="K200" s="5"/>
      <c r="L200" s="5"/>
      <c r="M200" s="5"/>
      <c r="N200" s="5"/>
    </row>
    <row r="201" spans="1:14" ht="42" customHeight="1">
      <c r="A201" s="5"/>
      <c r="B201" s="5"/>
      <c r="C201" s="5"/>
      <c r="D201" s="5"/>
      <c r="E201" s="5"/>
      <c r="F201" s="5"/>
      <c r="G201" s="5"/>
      <c r="H201" s="6"/>
      <c r="I201" s="5"/>
      <c r="J201" s="5"/>
      <c r="K201" s="5"/>
      <c r="L201" s="5"/>
      <c r="M201" s="5"/>
      <c r="N201" s="5"/>
    </row>
    <row r="202" spans="1:14" ht="42" customHeight="1">
      <c r="A202" s="5"/>
      <c r="B202" s="5"/>
      <c r="C202" s="5"/>
      <c r="D202" s="5"/>
      <c r="E202" s="5"/>
      <c r="F202" s="5"/>
      <c r="G202" s="5"/>
      <c r="H202" s="6"/>
      <c r="I202" s="5"/>
      <c r="J202" s="5"/>
      <c r="K202" s="5"/>
      <c r="L202" s="5"/>
      <c r="M202" s="5"/>
      <c r="N202" s="5"/>
    </row>
    <row r="203" spans="1:14" ht="42" customHeight="1">
      <c r="A203" s="5"/>
      <c r="B203" s="5"/>
      <c r="C203" s="5"/>
      <c r="D203" s="5"/>
      <c r="E203" s="5"/>
      <c r="F203" s="5"/>
      <c r="G203" s="5"/>
      <c r="H203" s="6"/>
      <c r="I203" s="5"/>
      <c r="J203" s="5"/>
      <c r="K203" s="5"/>
      <c r="L203" s="5"/>
      <c r="M203" s="5"/>
      <c r="N203" s="5"/>
    </row>
    <row r="204" spans="1:14" ht="42" customHeight="1">
      <c r="A204" s="5"/>
      <c r="B204" s="5"/>
      <c r="C204" s="5"/>
      <c r="D204" s="5"/>
      <c r="E204" s="5"/>
      <c r="F204" s="5"/>
      <c r="G204" s="5"/>
      <c r="H204" s="6"/>
      <c r="I204" s="5"/>
      <c r="J204" s="5"/>
      <c r="K204" s="5"/>
      <c r="L204" s="5"/>
      <c r="M204" s="5"/>
      <c r="N204" s="5"/>
    </row>
    <row r="205" spans="1:14" ht="42" customHeight="1">
      <c r="A205" s="5"/>
      <c r="B205" s="5"/>
      <c r="C205" s="5"/>
      <c r="D205" s="5"/>
      <c r="E205" s="5"/>
      <c r="F205" s="5"/>
      <c r="G205" s="5"/>
      <c r="H205" s="6"/>
      <c r="I205" s="5"/>
      <c r="J205" s="5"/>
      <c r="K205" s="5"/>
      <c r="L205" s="5"/>
      <c r="M205" s="5"/>
      <c r="N205" s="5"/>
    </row>
    <row r="206" spans="1:14" ht="42" customHeight="1">
      <c r="A206" s="5"/>
      <c r="B206" s="5"/>
      <c r="C206" s="5"/>
      <c r="D206" s="5"/>
      <c r="E206" s="5"/>
      <c r="F206" s="5"/>
      <c r="G206" s="5"/>
      <c r="H206" s="6"/>
      <c r="I206" s="5"/>
      <c r="J206" s="5"/>
      <c r="K206" s="5"/>
      <c r="L206" s="5"/>
      <c r="M206" s="5"/>
      <c r="N206" s="5"/>
    </row>
    <row r="207" spans="1:14" ht="42" customHeight="1">
      <c r="A207" s="5"/>
      <c r="B207" s="5"/>
      <c r="C207" s="5"/>
      <c r="D207" s="5"/>
      <c r="E207" s="5"/>
      <c r="F207" s="5"/>
      <c r="G207" s="5"/>
      <c r="H207" s="6"/>
      <c r="I207" s="5"/>
      <c r="J207" s="5"/>
      <c r="K207" s="5"/>
      <c r="L207" s="5"/>
      <c r="M207" s="5"/>
      <c r="N207" s="5"/>
    </row>
    <row r="208" spans="1:14" ht="42" customHeight="1">
      <c r="A208" s="5"/>
      <c r="B208" s="5"/>
      <c r="C208" s="5"/>
      <c r="D208" s="5"/>
      <c r="E208" s="5"/>
      <c r="F208" s="5"/>
      <c r="G208" s="5"/>
      <c r="H208" s="6"/>
      <c r="I208" s="5"/>
      <c r="J208" s="5"/>
      <c r="K208" s="5"/>
      <c r="L208" s="5"/>
      <c r="M208" s="5"/>
      <c r="N208" s="5"/>
    </row>
    <row r="209" spans="1:14" ht="42" customHeight="1">
      <c r="A209" s="5"/>
      <c r="B209" s="5"/>
      <c r="C209" s="5"/>
      <c r="D209" s="5"/>
      <c r="E209" s="5"/>
      <c r="F209" s="5"/>
      <c r="G209" s="5"/>
      <c r="H209" s="6"/>
      <c r="I209" s="5"/>
      <c r="J209" s="5"/>
      <c r="K209" s="5"/>
      <c r="L209" s="5"/>
      <c r="M209" s="5"/>
      <c r="N209" s="5"/>
    </row>
    <row r="210" spans="1:14" ht="42" customHeight="1">
      <c r="A210" s="5"/>
      <c r="B210" s="5"/>
      <c r="C210" s="5"/>
      <c r="D210" s="5"/>
      <c r="E210" s="5"/>
      <c r="F210" s="5"/>
      <c r="G210" s="5"/>
      <c r="H210" s="6"/>
      <c r="I210" s="5"/>
      <c r="J210" s="5"/>
      <c r="K210" s="5"/>
      <c r="L210" s="5"/>
      <c r="M210" s="5"/>
      <c r="N210" s="5"/>
    </row>
    <row r="211" spans="1:14" ht="42" customHeight="1">
      <c r="A211" s="5"/>
      <c r="B211" s="5"/>
      <c r="C211" s="5"/>
      <c r="D211" s="5"/>
      <c r="E211" s="5"/>
      <c r="F211" s="5"/>
      <c r="G211" s="5"/>
      <c r="H211" s="6"/>
      <c r="I211" s="5"/>
      <c r="J211" s="5"/>
      <c r="K211" s="5"/>
      <c r="L211" s="5"/>
      <c r="M211" s="5"/>
      <c r="N211" s="5"/>
    </row>
    <row r="212" spans="1:14" ht="42" customHeight="1">
      <c r="A212" s="5"/>
      <c r="B212" s="5"/>
      <c r="C212" s="5"/>
      <c r="D212" s="5"/>
      <c r="E212" s="5"/>
      <c r="F212" s="5"/>
      <c r="G212" s="5"/>
      <c r="H212" s="6"/>
      <c r="I212" s="5"/>
      <c r="J212" s="5"/>
      <c r="K212" s="5"/>
      <c r="L212" s="5"/>
      <c r="M212" s="5"/>
      <c r="N212" s="5"/>
    </row>
    <row r="213" spans="1:14" ht="42" customHeight="1">
      <c r="A213" s="5"/>
      <c r="B213" s="5"/>
      <c r="C213" s="5"/>
      <c r="D213" s="5"/>
      <c r="E213" s="5"/>
      <c r="F213" s="5"/>
      <c r="G213" s="5"/>
      <c r="H213" s="6"/>
      <c r="I213" s="5"/>
      <c r="J213" s="5"/>
      <c r="K213" s="5"/>
      <c r="L213" s="5"/>
      <c r="M213" s="5"/>
      <c r="N213" s="5"/>
    </row>
    <row r="214" spans="1:14" ht="42" customHeight="1">
      <c r="A214" s="5"/>
      <c r="B214" s="5"/>
      <c r="C214" s="5"/>
      <c r="D214" s="5"/>
      <c r="E214" s="5"/>
      <c r="F214" s="5"/>
      <c r="G214" s="5"/>
      <c r="H214" s="6"/>
      <c r="I214" s="5"/>
      <c r="J214" s="5"/>
      <c r="K214" s="5"/>
      <c r="L214" s="5"/>
      <c r="M214" s="5"/>
      <c r="N214" s="5"/>
    </row>
    <row r="215" spans="1:14" ht="42" customHeight="1">
      <c r="A215" s="5"/>
      <c r="B215" s="5"/>
      <c r="C215" s="5"/>
      <c r="D215" s="5"/>
      <c r="E215" s="5"/>
      <c r="F215" s="5"/>
      <c r="G215" s="5"/>
      <c r="H215" s="6"/>
      <c r="I215" s="5"/>
      <c r="J215" s="5"/>
      <c r="K215" s="5"/>
      <c r="L215" s="5"/>
      <c r="M215" s="5"/>
      <c r="N215" s="5"/>
    </row>
    <row r="216" spans="1:14" ht="42" customHeight="1">
      <c r="A216" s="5"/>
      <c r="B216" s="5"/>
      <c r="C216" s="5"/>
      <c r="D216" s="5"/>
      <c r="E216" s="5"/>
      <c r="F216" s="5"/>
      <c r="G216" s="5"/>
      <c r="H216" s="6"/>
      <c r="I216" s="5"/>
      <c r="J216" s="5"/>
      <c r="K216" s="5"/>
      <c r="L216" s="5"/>
      <c r="M216" s="5"/>
      <c r="N216" s="5"/>
    </row>
    <row r="217" spans="1:14" ht="42" customHeight="1">
      <c r="A217" s="5"/>
      <c r="B217" s="5"/>
      <c r="C217" s="5"/>
      <c r="D217" s="5"/>
      <c r="E217" s="5"/>
      <c r="F217" s="5"/>
      <c r="G217" s="5"/>
      <c r="H217" s="6"/>
      <c r="I217" s="5"/>
      <c r="J217" s="5"/>
      <c r="K217" s="5"/>
      <c r="L217" s="5"/>
      <c r="M217" s="5"/>
      <c r="N217" s="5"/>
    </row>
    <row r="218" spans="1:14" ht="42" customHeight="1">
      <c r="A218" s="5"/>
      <c r="B218" s="5"/>
      <c r="C218" s="5"/>
      <c r="D218" s="5"/>
      <c r="E218" s="5"/>
      <c r="F218" s="5"/>
      <c r="G218" s="5"/>
      <c r="H218" s="6"/>
      <c r="I218" s="5"/>
      <c r="J218" s="5"/>
      <c r="K218" s="5"/>
      <c r="L218" s="5"/>
      <c r="M218" s="5"/>
      <c r="N218" s="5"/>
    </row>
    <row r="219" spans="1:14" ht="42" customHeight="1">
      <c r="A219" s="5"/>
      <c r="B219" s="5"/>
      <c r="C219" s="5"/>
      <c r="D219" s="5"/>
      <c r="E219" s="5"/>
      <c r="F219" s="5"/>
      <c r="G219" s="5"/>
      <c r="H219" s="6"/>
      <c r="I219" s="5"/>
      <c r="J219" s="5"/>
      <c r="K219" s="5"/>
      <c r="L219" s="5"/>
      <c r="M219" s="5"/>
      <c r="N219" s="5"/>
    </row>
    <row r="220" spans="1:14" ht="42" customHeight="1">
      <c r="A220" s="5"/>
      <c r="B220" s="5"/>
      <c r="C220" s="5"/>
      <c r="D220" s="5"/>
      <c r="E220" s="5"/>
      <c r="F220" s="5"/>
      <c r="G220" s="5"/>
      <c r="H220" s="6"/>
      <c r="I220" s="5"/>
      <c r="J220" s="5"/>
      <c r="K220" s="5"/>
      <c r="L220" s="5"/>
      <c r="M220" s="5"/>
      <c r="N220" s="5"/>
    </row>
    <row r="221" spans="1:14" ht="42" customHeight="1">
      <c r="A221" s="5"/>
      <c r="B221" s="5"/>
      <c r="C221" s="5"/>
      <c r="D221" s="5"/>
      <c r="E221" s="5"/>
      <c r="F221" s="5"/>
      <c r="G221" s="5"/>
      <c r="H221" s="6"/>
      <c r="I221" s="5"/>
      <c r="J221" s="5"/>
      <c r="K221" s="5"/>
      <c r="L221" s="5"/>
      <c r="M221" s="5"/>
      <c r="N221" s="5"/>
    </row>
    <row r="222" spans="1:14" ht="42" customHeight="1">
      <c r="A222" s="5"/>
      <c r="B222" s="5"/>
      <c r="C222" s="5"/>
      <c r="D222" s="5"/>
      <c r="E222" s="5"/>
      <c r="F222" s="5"/>
      <c r="G222" s="5"/>
      <c r="H222" s="6"/>
      <c r="I222" s="5"/>
      <c r="J222" s="5"/>
      <c r="K222" s="5"/>
      <c r="L222" s="5"/>
      <c r="M222" s="5"/>
      <c r="N222" s="5"/>
    </row>
    <row r="223" spans="1:14" ht="42" customHeight="1">
      <c r="A223" s="5"/>
      <c r="B223" s="5"/>
      <c r="C223" s="5"/>
      <c r="D223" s="5"/>
      <c r="E223" s="5"/>
      <c r="F223" s="5"/>
      <c r="G223" s="5"/>
      <c r="H223" s="6"/>
      <c r="I223" s="5"/>
      <c r="J223" s="5"/>
      <c r="K223" s="5"/>
      <c r="L223" s="5"/>
      <c r="M223" s="5"/>
      <c r="N223" s="5"/>
    </row>
    <row r="224" spans="1:14" ht="42" customHeight="1">
      <c r="A224" s="5"/>
      <c r="B224" s="5"/>
      <c r="C224" s="5"/>
      <c r="D224" s="5"/>
      <c r="E224" s="5"/>
      <c r="F224" s="5"/>
      <c r="G224" s="5"/>
      <c r="H224" s="6"/>
      <c r="I224" s="5"/>
      <c r="J224" s="5"/>
      <c r="K224" s="5"/>
      <c r="L224" s="5"/>
      <c r="M224" s="5"/>
      <c r="N224" s="5"/>
    </row>
    <row r="225" spans="1:14" ht="42" customHeight="1">
      <c r="A225" s="5"/>
      <c r="B225" s="5"/>
      <c r="C225" s="5"/>
      <c r="D225" s="5"/>
      <c r="E225" s="5"/>
      <c r="F225" s="5"/>
      <c r="G225" s="5"/>
      <c r="H225" s="6"/>
      <c r="I225" s="5"/>
      <c r="J225" s="5"/>
      <c r="K225" s="5"/>
      <c r="L225" s="5"/>
      <c r="M225" s="5"/>
      <c r="N225" s="5"/>
    </row>
    <row r="226" spans="1:14" ht="42" customHeight="1">
      <c r="A226" s="5"/>
      <c r="B226" s="5"/>
      <c r="C226" s="5"/>
      <c r="D226" s="5"/>
      <c r="E226" s="5"/>
      <c r="F226" s="5"/>
      <c r="G226" s="5"/>
      <c r="H226" s="6"/>
      <c r="I226" s="5"/>
      <c r="J226" s="5"/>
      <c r="K226" s="5"/>
      <c r="L226" s="5"/>
      <c r="M226" s="5"/>
      <c r="N226" s="5"/>
    </row>
    <row r="227" spans="1:14" ht="42" customHeight="1">
      <c r="A227" s="5"/>
      <c r="B227" s="5"/>
      <c r="C227" s="5"/>
      <c r="D227" s="5"/>
      <c r="E227" s="5"/>
      <c r="F227" s="5"/>
      <c r="G227" s="5"/>
      <c r="H227" s="6"/>
      <c r="I227" s="5"/>
      <c r="J227" s="5"/>
      <c r="K227" s="5"/>
      <c r="L227" s="5"/>
      <c r="M227" s="5"/>
      <c r="N227" s="5"/>
    </row>
    <row r="228" spans="1:14" ht="42" customHeight="1">
      <c r="A228" s="5"/>
      <c r="B228" s="5"/>
      <c r="C228" s="5"/>
      <c r="D228" s="5"/>
      <c r="E228" s="5"/>
      <c r="F228" s="5"/>
      <c r="G228" s="5"/>
      <c r="H228" s="6"/>
      <c r="I228" s="5"/>
      <c r="J228" s="5"/>
      <c r="K228" s="5"/>
      <c r="L228" s="5"/>
      <c r="M228" s="5"/>
      <c r="N228" s="5"/>
    </row>
    <row r="229" spans="1:14" ht="42" customHeight="1">
      <c r="A229" s="5"/>
      <c r="B229" s="5"/>
      <c r="C229" s="5"/>
      <c r="D229" s="5"/>
      <c r="E229" s="5"/>
      <c r="F229" s="5"/>
      <c r="G229" s="5"/>
      <c r="H229" s="6"/>
      <c r="I229" s="5"/>
      <c r="J229" s="5"/>
      <c r="K229" s="5"/>
      <c r="L229" s="5"/>
      <c r="M229" s="5"/>
      <c r="N229" s="5"/>
    </row>
    <row r="230" spans="1:14" ht="42" customHeight="1">
      <c r="A230" s="5"/>
      <c r="B230" s="5"/>
      <c r="C230" s="5"/>
      <c r="D230" s="5"/>
      <c r="E230" s="5"/>
      <c r="F230" s="5"/>
      <c r="G230" s="5"/>
      <c r="H230" s="6"/>
      <c r="I230" s="5"/>
      <c r="J230" s="5"/>
      <c r="K230" s="5"/>
      <c r="L230" s="5"/>
      <c r="M230" s="5"/>
      <c r="N230" s="5"/>
    </row>
    <row r="231" spans="1:14" ht="42" customHeight="1">
      <c r="A231" s="5"/>
      <c r="B231" s="5"/>
      <c r="C231" s="5"/>
      <c r="D231" s="5"/>
      <c r="E231" s="5"/>
      <c r="F231" s="5"/>
      <c r="G231" s="5"/>
      <c r="H231" s="6"/>
      <c r="I231" s="5"/>
      <c r="J231" s="5"/>
      <c r="K231" s="5"/>
      <c r="L231" s="5"/>
      <c r="M231" s="5"/>
      <c r="N231" s="5"/>
    </row>
    <row r="232" spans="1:14" ht="42" customHeight="1">
      <c r="A232" s="5"/>
      <c r="B232" s="5"/>
      <c r="C232" s="5"/>
      <c r="D232" s="5"/>
      <c r="E232" s="5"/>
      <c r="F232" s="5"/>
      <c r="G232" s="5"/>
      <c r="H232" s="6"/>
      <c r="I232" s="5"/>
      <c r="J232" s="5"/>
      <c r="K232" s="5"/>
      <c r="L232" s="5"/>
      <c r="M232" s="5"/>
      <c r="N232" s="5"/>
    </row>
    <row r="233" spans="1:14" ht="42" customHeight="1">
      <c r="A233" s="5"/>
      <c r="B233" s="5"/>
      <c r="C233" s="5"/>
      <c r="D233" s="5"/>
      <c r="E233" s="5"/>
      <c r="F233" s="5"/>
      <c r="G233" s="5"/>
      <c r="H233" s="6"/>
      <c r="I233" s="5"/>
      <c r="J233" s="5"/>
      <c r="K233" s="5"/>
      <c r="L233" s="5"/>
      <c r="M233" s="5"/>
      <c r="N233" s="5"/>
    </row>
    <row r="234" spans="1:14" ht="42" customHeight="1">
      <c r="A234" s="5"/>
      <c r="B234" s="5"/>
      <c r="C234" s="5"/>
      <c r="D234" s="5"/>
      <c r="E234" s="5"/>
      <c r="F234" s="5"/>
      <c r="G234" s="5"/>
      <c r="H234" s="6"/>
      <c r="I234" s="5"/>
      <c r="J234" s="5"/>
      <c r="K234" s="5"/>
      <c r="L234" s="5"/>
      <c r="M234" s="5"/>
      <c r="N234" s="5"/>
    </row>
    <row r="235" spans="1:14" ht="42" customHeight="1">
      <c r="A235" s="5"/>
      <c r="B235" s="5"/>
      <c r="C235" s="5"/>
      <c r="D235" s="5"/>
      <c r="E235" s="5"/>
      <c r="F235" s="5"/>
      <c r="G235" s="5"/>
      <c r="H235" s="6"/>
      <c r="I235" s="5"/>
      <c r="J235" s="5"/>
      <c r="K235" s="5"/>
      <c r="L235" s="5"/>
      <c r="M235" s="5"/>
      <c r="N235" s="5"/>
    </row>
    <row r="236" spans="1:14" ht="42" customHeight="1">
      <c r="A236" s="5"/>
      <c r="B236" s="5"/>
      <c r="C236" s="5"/>
      <c r="D236" s="5"/>
      <c r="E236" s="5"/>
      <c r="F236" s="5"/>
      <c r="G236" s="5"/>
      <c r="H236" s="6"/>
      <c r="I236" s="5"/>
      <c r="J236" s="5"/>
      <c r="K236" s="5"/>
      <c r="L236" s="5"/>
      <c r="M236" s="5"/>
      <c r="N236" s="5"/>
    </row>
    <row r="237" spans="1:14" ht="42" customHeight="1">
      <c r="A237" s="5"/>
      <c r="B237" s="5"/>
      <c r="C237" s="5"/>
      <c r="D237" s="5"/>
      <c r="E237" s="5"/>
      <c r="F237" s="5"/>
      <c r="G237" s="5"/>
      <c r="H237" s="6"/>
      <c r="I237" s="5"/>
      <c r="J237" s="5"/>
      <c r="K237" s="5"/>
      <c r="L237" s="5"/>
      <c r="M237" s="5"/>
      <c r="N237" s="5"/>
    </row>
    <row r="238" spans="1:14" ht="42" customHeight="1">
      <c r="A238" s="5"/>
      <c r="B238" s="5"/>
      <c r="C238" s="5"/>
      <c r="D238" s="5"/>
      <c r="E238" s="5"/>
      <c r="F238" s="5"/>
      <c r="G238" s="5"/>
      <c r="H238" s="6"/>
      <c r="I238" s="5"/>
      <c r="J238" s="5"/>
      <c r="K238" s="5"/>
      <c r="L238" s="5"/>
      <c r="M238" s="5"/>
      <c r="N238" s="5"/>
    </row>
    <row r="239" spans="1:14" ht="42" customHeight="1">
      <c r="A239" s="5"/>
      <c r="B239" s="5"/>
      <c r="C239" s="5"/>
      <c r="D239" s="5"/>
      <c r="E239" s="5"/>
      <c r="F239" s="5"/>
      <c r="G239" s="5"/>
      <c r="H239" s="6"/>
      <c r="I239" s="5"/>
      <c r="J239" s="5"/>
      <c r="K239" s="5"/>
      <c r="L239" s="5"/>
      <c r="M239" s="5"/>
      <c r="N239" s="5"/>
    </row>
    <row r="240" spans="1:14" ht="42" customHeight="1">
      <c r="A240" s="5"/>
      <c r="B240" s="5"/>
      <c r="C240" s="5"/>
      <c r="D240" s="5"/>
      <c r="E240" s="5"/>
      <c r="F240" s="5"/>
      <c r="G240" s="5"/>
      <c r="H240" s="6"/>
      <c r="I240" s="5"/>
      <c r="J240" s="5"/>
      <c r="K240" s="5"/>
      <c r="L240" s="5"/>
      <c r="M240" s="5"/>
      <c r="N240" s="5"/>
    </row>
    <row r="241" spans="1:14" ht="42" customHeight="1">
      <c r="A241" s="5"/>
      <c r="B241" s="5"/>
      <c r="C241" s="5"/>
      <c r="D241" s="5"/>
      <c r="E241" s="5"/>
      <c r="F241" s="5"/>
      <c r="G241" s="5"/>
      <c r="H241" s="6"/>
      <c r="I241" s="5"/>
      <c r="J241" s="5"/>
      <c r="K241" s="5"/>
      <c r="L241" s="5"/>
      <c r="M241" s="5"/>
      <c r="N241" s="5"/>
    </row>
    <row r="242" spans="1:14" ht="42" customHeight="1">
      <c r="A242" s="5"/>
      <c r="B242" s="5"/>
      <c r="C242" s="5"/>
      <c r="D242" s="5"/>
      <c r="E242" s="5"/>
      <c r="F242" s="5"/>
      <c r="G242" s="5"/>
      <c r="H242" s="6"/>
      <c r="I242" s="5"/>
      <c r="J242" s="5"/>
      <c r="K242" s="5"/>
      <c r="L242" s="5"/>
      <c r="M242" s="5"/>
      <c r="N242" s="5"/>
    </row>
    <row r="243" spans="1:14" ht="42" customHeight="1">
      <c r="A243" s="5"/>
      <c r="B243" s="5"/>
      <c r="C243" s="5"/>
      <c r="D243" s="5"/>
      <c r="E243" s="5"/>
      <c r="F243" s="5"/>
      <c r="G243" s="5"/>
      <c r="H243" s="6"/>
      <c r="I243" s="5"/>
      <c r="J243" s="5"/>
      <c r="K243" s="5"/>
      <c r="L243" s="5"/>
      <c r="M243" s="5"/>
      <c r="N243" s="5"/>
    </row>
    <row r="244" spans="1:14" ht="42" customHeight="1">
      <c r="A244" s="5"/>
      <c r="B244" s="5"/>
      <c r="C244" s="5"/>
      <c r="D244" s="5"/>
      <c r="E244" s="5"/>
      <c r="F244" s="5"/>
      <c r="G244" s="5"/>
      <c r="H244" s="6"/>
      <c r="I244" s="5"/>
      <c r="J244" s="5"/>
      <c r="K244" s="5"/>
      <c r="L244" s="5"/>
      <c r="M244" s="5"/>
      <c r="N244" s="5"/>
    </row>
    <row r="245" spans="1:14" ht="42" customHeight="1">
      <c r="A245" s="5"/>
      <c r="B245" s="5"/>
      <c r="C245" s="5"/>
      <c r="D245" s="5"/>
      <c r="E245" s="5"/>
      <c r="F245" s="5"/>
      <c r="G245" s="5"/>
      <c r="H245" s="6"/>
      <c r="I245" s="5"/>
      <c r="J245" s="5"/>
      <c r="K245" s="5"/>
      <c r="L245" s="5"/>
      <c r="M245" s="5"/>
      <c r="N245" s="5"/>
    </row>
    <row r="246" spans="1:14" ht="42" customHeight="1">
      <c r="A246" s="5"/>
      <c r="B246" s="5"/>
      <c r="C246" s="5"/>
      <c r="D246" s="5"/>
      <c r="E246" s="5"/>
      <c r="F246" s="5"/>
      <c r="G246" s="5"/>
      <c r="H246" s="6"/>
      <c r="I246" s="5"/>
      <c r="J246" s="5"/>
      <c r="K246" s="5"/>
      <c r="L246" s="5"/>
      <c r="M246" s="5"/>
      <c r="N246" s="5"/>
    </row>
    <row r="247" spans="1:14" ht="42" customHeight="1">
      <c r="A247" s="5"/>
      <c r="B247" s="5"/>
      <c r="C247" s="5"/>
      <c r="D247" s="5"/>
      <c r="E247" s="5"/>
      <c r="F247" s="5"/>
      <c r="G247" s="5"/>
      <c r="H247" s="6"/>
      <c r="I247" s="5"/>
      <c r="J247" s="5"/>
      <c r="K247" s="5"/>
      <c r="L247" s="5"/>
      <c r="M247" s="5"/>
      <c r="N247" s="5"/>
    </row>
    <row r="248" spans="1:14" ht="42" customHeight="1">
      <c r="A248" s="5"/>
      <c r="B248" s="5"/>
      <c r="C248" s="5"/>
      <c r="D248" s="5"/>
      <c r="E248" s="5"/>
      <c r="F248" s="5"/>
      <c r="G248" s="5"/>
      <c r="H248" s="6"/>
      <c r="I248" s="5"/>
      <c r="J248" s="5"/>
      <c r="K248" s="5"/>
      <c r="L248" s="5"/>
      <c r="M248" s="5"/>
      <c r="N248" s="5"/>
    </row>
    <row r="249" spans="1:14" ht="42" customHeight="1">
      <c r="A249" s="5"/>
      <c r="B249" s="5"/>
      <c r="C249" s="5"/>
      <c r="D249" s="5"/>
      <c r="E249" s="5"/>
      <c r="F249" s="5"/>
      <c r="G249" s="5"/>
      <c r="H249" s="6"/>
      <c r="I249" s="5"/>
      <c r="J249" s="5"/>
      <c r="K249" s="5"/>
      <c r="L249" s="5"/>
      <c r="M249" s="5"/>
      <c r="N249" s="5"/>
    </row>
    <row r="250" spans="1:14" ht="42" customHeight="1">
      <c r="A250" s="5"/>
      <c r="B250" s="5"/>
      <c r="C250" s="5"/>
      <c r="D250" s="5"/>
      <c r="E250" s="5"/>
      <c r="F250" s="5"/>
      <c r="G250" s="5"/>
      <c r="H250" s="6"/>
      <c r="I250" s="5"/>
      <c r="J250" s="5"/>
      <c r="K250" s="5"/>
      <c r="L250" s="5"/>
      <c r="M250" s="5"/>
      <c r="N250" s="5"/>
    </row>
    <row r="251" spans="1:14" ht="42" customHeight="1">
      <c r="A251" s="5"/>
      <c r="B251" s="5"/>
      <c r="C251" s="5"/>
      <c r="D251" s="5"/>
      <c r="E251" s="5"/>
      <c r="F251" s="5"/>
      <c r="G251" s="5"/>
      <c r="H251" s="6"/>
      <c r="I251" s="5"/>
      <c r="J251" s="5"/>
      <c r="K251" s="5"/>
      <c r="L251" s="5"/>
      <c r="M251" s="5"/>
      <c r="N251" s="5"/>
    </row>
    <row r="252" spans="1:14" ht="42" customHeight="1">
      <c r="A252" s="5"/>
      <c r="B252" s="5"/>
      <c r="C252" s="5"/>
      <c r="D252" s="5"/>
      <c r="E252" s="5"/>
      <c r="F252" s="5"/>
      <c r="G252" s="5"/>
      <c r="H252" s="6"/>
      <c r="I252" s="5"/>
      <c r="J252" s="5"/>
      <c r="K252" s="5"/>
      <c r="L252" s="5"/>
      <c r="M252" s="5"/>
      <c r="N252" s="5"/>
    </row>
    <row r="253" spans="1:14" ht="42" customHeight="1">
      <c r="A253" s="5"/>
      <c r="B253" s="5"/>
      <c r="C253" s="5"/>
      <c r="D253" s="5"/>
      <c r="E253" s="5"/>
      <c r="F253" s="5"/>
      <c r="G253" s="5"/>
      <c r="H253" s="6"/>
      <c r="I253" s="5"/>
      <c r="J253" s="5"/>
      <c r="K253" s="5"/>
      <c r="L253" s="5"/>
      <c r="M253" s="5"/>
      <c r="N253" s="5"/>
    </row>
    <row r="254" spans="1:14" ht="42" customHeight="1">
      <c r="A254" s="5"/>
      <c r="B254" s="5"/>
      <c r="C254" s="5"/>
      <c r="D254" s="5"/>
      <c r="E254" s="5"/>
      <c r="F254" s="5"/>
      <c r="G254" s="5"/>
      <c r="H254" s="6"/>
      <c r="I254" s="5"/>
      <c r="J254" s="5"/>
      <c r="K254" s="5"/>
      <c r="L254" s="5"/>
      <c r="M254" s="5"/>
      <c r="N254" s="5"/>
    </row>
    <row r="255" spans="1:14" ht="42" customHeight="1">
      <c r="A255" s="5"/>
      <c r="B255" s="5"/>
      <c r="C255" s="5"/>
      <c r="D255" s="5"/>
      <c r="E255" s="5"/>
      <c r="F255" s="5"/>
      <c r="G255" s="5"/>
      <c r="H255" s="6"/>
      <c r="I255" s="5"/>
      <c r="J255" s="5"/>
      <c r="K255" s="5"/>
      <c r="L255" s="5"/>
      <c r="M255" s="5"/>
      <c r="N255" s="5"/>
    </row>
    <row r="256" spans="1:14" ht="42" customHeight="1">
      <c r="A256" s="5"/>
      <c r="B256" s="5"/>
      <c r="C256" s="5"/>
      <c r="D256" s="5"/>
      <c r="E256" s="5"/>
      <c r="F256" s="5"/>
      <c r="G256" s="5"/>
      <c r="H256" s="6"/>
      <c r="I256" s="5"/>
      <c r="J256" s="5"/>
      <c r="K256" s="5"/>
      <c r="L256" s="5"/>
      <c r="M256" s="5"/>
      <c r="N256" s="5"/>
    </row>
    <row r="257" spans="1:14" ht="42" customHeight="1">
      <c r="A257" s="5"/>
      <c r="B257" s="5"/>
      <c r="C257" s="5"/>
      <c r="D257" s="5"/>
      <c r="E257" s="5"/>
      <c r="F257" s="5"/>
      <c r="G257" s="5"/>
      <c r="H257" s="6"/>
      <c r="I257" s="5"/>
      <c r="J257" s="5"/>
      <c r="K257" s="5"/>
      <c r="L257" s="5"/>
      <c r="M257" s="5"/>
      <c r="N257" s="5"/>
    </row>
    <row r="258" spans="1:14" ht="42" customHeight="1">
      <c r="A258" s="5"/>
      <c r="B258" s="5"/>
      <c r="C258" s="5"/>
      <c r="D258" s="5"/>
      <c r="E258" s="5"/>
      <c r="F258" s="5"/>
      <c r="G258" s="5"/>
      <c r="H258" s="6"/>
      <c r="I258" s="5"/>
      <c r="J258" s="5"/>
      <c r="K258" s="5"/>
      <c r="L258" s="5"/>
      <c r="M258" s="5"/>
      <c r="N258" s="5"/>
    </row>
    <row r="259" spans="1:14" ht="42" customHeight="1">
      <c r="A259" s="5"/>
      <c r="B259" s="5"/>
      <c r="C259" s="5"/>
      <c r="D259" s="5"/>
      <c r="E259" s="5"/>
      <c r="F259" s="5"/>
      <c r="G259" s="5"/>
      <c r="H259" s="6"/>
      <c r="I259" s="5"/>
      <c r="J259" s="5"/>
      <c r="K259" s="5"/>
      <c r="L259" s="5"/>
      <c r="M259" s="5"/>
      <c r="N259" s="5"/>
    </row>
    <row r="260" spans="1:14" ht="42" customHeight="1">
      <c r="A260" s="5"/>
      <c r="B260" s="5"/>
      <c r="C260" s="5"/>
      <c r="D260" s="5"/>
      <c r="E260" s="5"/>
      <c r="F260" s="5"/>
      <c r="G260" s="5"/>
      <c r="H260" s="6"/>
      <c r="I260" s="5"/>
      <c r="J260" s="5"/>
      <c r="K260" s="5"/>
      <c r="L260" s="5"/>
      <c r="M260" s="5"/>
      <c r="N260" s="5"/>
    </row>
    <row r="261" spans="1:14" ht="42" customHeight="1">
      <c r="A261" s="5"/>
      <c r="B261" s="5"/>
      <c r="C261" s="5"/>
      <c r="D261" s="5"/>
      <c r="E261" s="5"/>
      <c r="F261" s="5"/>
      <c r="G261" s="5"/>
      <c r="H261" s="6"/>
      <c r="I261" s="5"/>
      <c r="J261" s="5"/>
      <c r="K261" s="5"/>
      <c r="L261" s="5"/>
      <c r="M261" s="5"/>
      <c r="N261" s="5"/>
    </row>
    <row r="262" spans="1:14" ht="42" customHeight="1">
      <c r="A262" s="5"/>
      <c r="B262" s="5"/>
      <c r="C262" s="5"/>
      <c r="D262" s="5"/>
      <c r="E262" s="5"/>
      <c r="F262" s="5"/>
      <c r="G262" s="5"/>
      <c r="H262" s="6"/>
      <c r="I262" s="5"/>
      <c r="J262" s="5"/>
      <c r="K262" s="5"/>
      <c r="L262" s="5"/>
      <c r="M262" s="5"/>
      <c r="N262" s="5"/>
    </row>
    <row r="263" spans="1:14" ht="42" customHeight="1">
      <c r="A263" s="5"/>
      <c r="B263" s="5"/>
      <c r="C263" s="5"/>
      <c r="D263" s="5"/>
      <c r="E263" s="5"/>
      <c r="F263" s="5"/>
      <c r="G263" s="5"/>
      <c r="H263" s="6"/>
      <c r="I263" s="5"/>
      <c r="J263" s="5"/>
      <c r="K263" s="5"/>
      <c r="L263" s="5"/>
      <c r="M263" s="5"/>
      <c r="N263" s="5"/>
    </row>
    <row r="264" spans="1:14" ht="42" customHeight="1">
      <c r="A264" s="5"/>
      <c r="B264" s="5"/>
      <c r="C264" s="5"/>
      <c r="D264" s="5"/>
      <c r="E264" s="5"/>
      <c r="F264" s="5"/>
      <c r="G264" s="5"/>
      <c r="H264" s="6"/>
      <c r="I264" s="5"/>
      <c r="J264" s="5"/>
      <c r="K264" s="5"/>
      <c r="L264" s="5"/>
      <c r="M264" s="5"/>
      <c r="N264" s="5"/>
    </row>
    <row r="265" spans="1:14" ht="42" customHeight="1">
      <c r="A265" s="5"/>
      <c r="B265" s="5"/>
      <c r="C265" s="5"/>
      <c r="D265" s="5"/>
      <c r="E265" s="5"/>
      <c r="F265" s="5"/>
      <c r="G265" s="5"/>
      <c r="H265" s="6"/>
      <c r="I265" s="5"/>
      <c r="J265" s="5"/>
      <c r="K265" s="5"/>
      <c r="L265" s="5"/>
      <c r="M265" s="5"/>
      <c r="N265" s="5"/>
    </row>
    <row r="266" spans="1:14" ht="42" customHeight="1">
      <c r="A266" s="5"/>
      <c r="B266" s="5"/>
      <c r="C266" s="5"/>
      <c r="D266" s="5"/>
      <c r="E266" s="5"/>
      <c r="F266" s="5"/>
      <c r="G266" s="5"/>
      <c r="H266" s="6"/>
      <c r="I266" s="5"/>
      <c r="J266" s="5"/>
      <c r="K266" s="5"/>
      <c r="L266" s="5"/>
      <c r="M266" s="5"/>
      <c r="N266" s="5"/>
    </row>
    <row r="267" spans="1:14" ht="42" customHeight="1">
      <c r="A267" s="5"/>
      <c r="B267" s="5"/>
      <c r="C267" s="5"/>
      <c r="D267" s="5"/>
      <c r="E267" s="5"/>
      <c r="F267" s="5"/>
      <c r="G267" s="5"/>
      <c r="H267" s="6"/>
      <c r="I267" s="5"/>
      <c r="J267" s="5"/>
      <c r="K267" s="5"/>
      <c r="L267" s="5"/>
      <c r="M267" s="5"/>
      <c r="N267" s="5"/>
    </row>
    <row r="268" spans="1:14" ht="42" customHeight="1">
      <c r="A268" s="5"/>
      <c r="B268" s="5"/>
      <c r="C268" s="5"/>
      <c r="D268" s="5"/>
      <c r="E268" s="5"/>
      <c r="F268" s="5"/>
      <c r="G268" s="5"/>
      <c r="H268" s="6"/>
      <c r="I268" s="5"/>
      <c r="J268" s="5"/>
      <c r="K268" s="5"/>
      <c r="L268" s="5"/>
      <c r="M268" s="5"/>
      <c r="N268" s="5"/>
    </row>
    <row r="269" spans="1:14" ht="42" customHeight="1">
      <c r="A269" s="5"/>
      <c r="B269" s="5"/>
      <c r="C269" s="5"/>
      <c r="D269" s="5"/>
      <c r="E269" s="5"/>
      <c r="F269" s="5"/>
      <c r="G269" s="5"/>
      <c r="H269" s="6"/>
      <c r="I269" s="5"/>
      <c r="J269" s="5"/>
      <c r="K269" s="5"/>
      <c r="L269" s="5"/>
      <c r="M269" s="5"/>
      <c r="N269" s="5"/>
    </row>
    <row r="270" spans="1:14" ht="42" customHeight="1">
      <c r="A270" s="5"/>
      <c r="B270" s="5"/>
      <c r="C270" s="5"/>
      <c r="D270" s="5"/>
      <c r="E270" s="5"/>
      <c r="F270" s="5"/>
      <c r="G270" s="5"/>
      <c r="H270" s="6"/>
      <c r="I270" s="5"/>
      <c r="J270" s="5"/>
      <c r="K270" s="5"/>
      <c r="L270" s="5"/>
      <c r="M270" s="5"/>
      <c r="N270" s="5"/>
    </row>
    <row r="271" spans="1:14" ht="42" customHeight="1">
      <c r="A271" s="5"/>
      <c r="B271" s="5"/>
      <c r="C271" s="5"/>
      <c r="D271" s="5"/>
      <c r="E271" s="5"/>
      <c r="F271" s="5"/>
      <c r="G271" s="5"/>
      <c r="H271" s="6"/>
      <c r="I271" s="5"/>
      <c r="J271" s="5"/>
      <c r="K271" s="5"/>
      <c r="L271" s="5"/>
      <c r="M271" s="5"/>
      <c r="N271" s="5"/>
    </row>
    <row r="272" spans="1:14" ht="42" customHeight="1">
      <c r="A272" s="5"/>
      <c r="B272" s="5"/>
      <c r="C272" s="5"/>
      <c r="D272" s="5"/>
      <c r="E272" s="5"/>
      <c r="F272" s="5"/>
      <c r="G272" s="5"/>
      <c r="H272" s="6"/>
      <c r="I272" s="5"/>
      <c r="J272" s="5"/>
      <c r="K272" s="5"/>
      <c r="L272" s="5"/>
      <c r="M272" s="5"/>
      <c r="N272" s="5"/>
    </row>
    <row r="273" spans="1:14" ht="42" customHeight="1">
      <c r="A273" s="5"/>
      <c r="B273" s="5"/>
      <c r="C273" s="5"/>
      <c r="D273" s="5"/>
      <c r="E273" s="5"/>
      <c r="F273" s="5"/>
      <c r="G273" s="5"/>
      <c r="H273" s="6"/>
      <c r="I273" s="5"/>
      <c r="J273" s="5"/>
      <c r="K273" s="5"/>
      <c r="L273" s="5"/>
      <c r="M273" s="5"/>
      <c r="N273" s="5"/>
    </row>
    <row r="274" spans="1:14" ht="42" customHeight="1">
      <c r="A274" s="5"/>
      <c r="B274" s="5"/>
      <c r="C274" s="5"/>
      <c r="D274" s="5"/>
      <c r="E274" s="5"/>
      <c r="F274" s="5"/>
      <c r="G274" s="5"/>
      <c r="H274" s="6"/>
      <c r="I274" s="5"/>
      <c r="J274" s="5"/>
      <c r="K274" s="5"/>
      <c r="L274" s="5"/>
      <c r="M274" s="5"/>
      <c r="N274" s="5"/>
    </row>
    <row r="275" spans="1:14" ht="42" customHeight="1">
      <c r="A275" s="5"/>
      <c r="B275" s="5"/>
      <c r="C275" s="5"/>
      <c r="D275" s="5"/>
      <c r="E275" s="5"/>
      <c r="F275" s="5"/>
      <c r="G275" s="5"/>
      <c r="H275" s="6"/>
      <c r="I275" s="5"/>
      <c r="J275" s="5"/>
      <c r="K275" s="5"/>
      <c r="L275" s="5"/>
      <c r="M275" s="5"/>
      <c r="N275" s="5"/>
    </row>
    <row r="276" spans="1:14" ht="42" customHeight="1">
      <c r="A276" s="5"/>
      <c r="B276" s="5"/>
      <c r="C276" s="5"/>
      <c r="D276" s="5"/>
      <c r="E276" s="5"/>
      <c r="F276" s="5"/>
      <c r="G276" s="5"/>
      <c r="H276" s="6"/>
      <c r="I276" s="5"/>
      <c r="J276" s="5"/>
      <c r="K276" s="5"/>
      <c r="L276" s="5"/>
      <c r="M276" s="5"/>
      <c r="N276" s="5"/>
    </row>
    <row r="277" spans="1:14" ht="42" customHeight="1">
      <c r="A277" s="5"/>
      <c r="B277" s="5"/>
      <c r="C277" s="5"/>
      <c r="D277" s="5"/>
      <c r="E277" s="5"/>
      <c r="F277" s="5"/>
      <c r="G277" s="5"/>
      <c r="H277" s="6"/>
      <c r="I277" s="5"/>
      <c r="J277" s="5"/>
      <c r="K277" s="5"/>
      <c r="L277" s="5"/>
      <c r="M277" s="5"/>
      <c r="N277" s="5"/>
    </row>
    <row r="278" spans="1:14" ht="42" customHeight="1">
      <c r="A278" s="5"/>
      <c r="B278" s="5"/>
      <c r="C278" s="5"/>
      <c r="D278" s="5"/>
      <c r="E278" s="5"/>
      <c r="F278" s="5"/>
      <c r="G278" s="5"/>
      <c r="H278" s="6"/>
      <c r="I278" s="5"/>
      <c r="J278" s="5"/>
      <c r="K278" s="5"/>
      <c r="L278" s="5"/>
      <c r="M278" s="5"/>
      <c r="N278" s="5"/>
    </row>
    <row r="279" spans="1:14" ht="42" customHeight="1">
      <c r="A279" s="5"/>
      <c r="B279" s="5"/>
      <c r="C279" s="5"/>
      <c r="D279" s="5"/>
      <c r="E279" s="5"/>
      <c r="F279" s="5"/>
      <c r="G279" s="5"/>
      <c r="H279" s="6"/>
      <c r="I279" s="5"/>
      <c r="J279" s="5"/>
      <c r="K279" s="5"/>
      <c r="L279" s="5"/>
      <c r="M279" s="5"/>
      <c r="N279" s="5"/>
    </row>
    <row r="280" spans="1:14" ht="42" customHeight="1">
      <c r="A280" s="5"/>
      <c r="B280" s="5"/>
      <c r="C280" s="5"/>
      <c r="D280" s="5"/>
      <c r="E280" s="5"/>
      <c r="F280" s="5"/>
      <c r="G280" s="5"/>
      <c r="H280" s="6"/>
      <c r="I280" s="5"/>
      <c r="J280" s="5"/>
      <c r="K280" s="5"/>
      <c r="L280" s="5"/>
      <c r="M280" s="5"/>
      <c r="N280" s="5"/>
    </row>
    <row r="281" spans="1:14" ht="42" customHeight="1">
      <c r="A281" s="5"/>
      <c r="B281" s="5"/>
      <c r="C281" s="5"/>
      <c r="D281" s="5"/>
      <c r="E281" s="5"/>
      <c r="F281" s="5"/>
      <c r="G281" s="5"/>
      <c r="H281" s="6"/>
      <c r="I281" s="5"/>
      <c r="J281" s="5"/>
      <c r="K281" s="5"/>
      <c r="L281" s="5"/>
      <c r="M281" s="5"/>
      <c r="N281" s="5"/>
    </row>
    <row r="282" spans="1:14" ht="42" customHeight="1">
      <c r="A282" s="5"/>
      <c r="B282" s="5"/>
      <c r="C282" s="5"/>
      <c r="D282" s="5"/>
      <c r="E282" s="5"/>
      <c r="F282" s="5"/>
      <c r="G282" s="5"/>
      <c r="H282" s="6"/>
      <c r="I282" s="5"/>
      <c r="J282" s="5"/>
      <c r="K282" s="5"/>
      <c r="L282" s="5"/>
      <c r="M282" s="5"/>
      <c r="N282" s="5"/>
    </row>
    <row r="283" spans="1:14" ht="42" customHeight="1">
      <c r="A283" s="5"/>
      <c r="B283" s="5"/>
      <c r="C283" s="5"/>
      <c r="D283" s="5"/>
      <c r="E283" s="5"/>
      <c r="F283" s="5"/>
      <c r="G283" s="5"/>
      <c r="H283" s="6"/>
      <c r="I283" s="5"/>
      <c r="J283" s="5"/>
      <c r="K283" s="5"/>
      <c r="L283" s="5"/>
      <c r="M283" s="5"/>
      <c r="N283" s="5"/>
    </row>
    <row r="284" spans="1:14" ht="42" customHeight="1">
      <c r="A284" s="5"/>
      <c r="B284" s="5"/>
      <c r="C284" s="5"/>
      <c r="D284" s="5"/>
      <c r="E284" s="5"/>
      <c r="F284" s="5"/>
      <c r="G284" s="5"/>
      <c r="H284" s="6"/>
      <c r="I284" s="5"/>
      <c r="J284" s="5"/>
      <c r="K284" s="5"/>
      <c r="L284" s="5"/>
      <c r="M284" s="5"/>
      <c r="N284" s="5"/>
    </row>
    <row r="285" spans="1:14" ht="42" customHeight="1">
      <c r="A285" s="5"/>
      <c r="B285" s="5"/>
      <c r="C285" s="5"/>
      <c r="D285" s="5"/>
      <c r="E285" s="5"/>
      <c r="F285" s="5"/>
      <c r="G285" s="5"/>
      <c r="H285" s="6"/>
      <c r="I285" s="5"/>
      <c r="J285" s="5"/>
      <c r="K285" s="5"/>
      <c r="L285" s="5"/>
      <c r="M285" s="5"/>
      <c r="N285" s="5"/>
    </row>
    <row r="286" spans="1:14" ht="42" customHeight="1">
      <c r="A286" s="5"/>
      <c r="B286" s="5"/>
      <c r="C286" s="5"/>
      <c r="D286" s="5"/>
      <c r="E286" s="5"/>
      <c r="F286" s="5"/>
      <c r="G286" s="5"/>
      <c r="H286" s="6"/>
      <c r="I286" s="5"/>
      <c r="J286" s="5"/>
      <c r="K286" s="5"/>
      <c r="L286" s="5"/>
      <c r="M286" s="5"/>
      <c r="N286" s="5"/>
    </row>
    <row r="287" spans="1:14" ht="42" customHeight="1">
      <c r="A287" s="5"/>
      <c r="B287" s="5"/>
      <c r="C287" s="5"/>
      <c r="D287" s="5"/>
      <c r="E287" s="5"/>
      <c r="F287" s="5"/>
      <c r="G287" s="5"/>
      <c r="H287" s="6"/>
      <c r="I287" s="5"/>
      <c r="J287" s="5"/>
      <c r="K287" s="5"/>
      <c r="L287" s="5"/>
      <c r="M287" s="5"/>
      <c r="N287" s="5"/>
    </row>
    <row r="288" spans="1:14" ht="42" customHeight="1">
      <c r="A288" s="5"/>
      <c r="B288" s="5"/>
      <c r="C288" s="5"/>
      <c r="D288" s="5"/>
      <c r="E288" s="5"/>
      <c r="F288" s="5"/>
      <c r="G288" s="5"/>
      <c r="H288" s="6"/>
      <c r="I288" s="5"/>
      <c r="J288" s="5"/>
      <c r="K288" s="5"/>
      <c r="L288" s="5"/>
      <c r="M288" s="5"/>
      <c r="N288" s="5"/>
    </row>
    <row r="289" spans="1:14" ht="42" customHeight="1">
      <c r="A289" s="5"/>
      <c r="B289" s="5"/>
      <c r="C289" s="5"/>
      <c r="D289" s="5"/>
      <c r="E289" s="5"/>
      <c r="F289" s="5"/>
      <c r="G289" s="5"/>
      <c r="H289" s="6"/>
      <c r="I289" s="5"/>
      <c r="J289" s="5"/>
      <c r="K289" s="5"/>
      <c r="L289" s="5"/>
      <c r="M289" s="5"/>
      <c r="N289" s="5"/>
    </row>
    <row r="290" spans="1:14" ht="42" customHeight="1">
      <c r="A290" s="5"/>
      <c r="B290" s="5"/>
      <c r="C290" s="5"/>
      <c r="D290" s="5"/>
      <c r="E290" s="5"/>
      <c r="F290" s="5"/>
      <c r="G290" s="5"/>
      <c r="H290" s="6"/>
      <c r="I290" s="5"/>
      <c r="J290" s="5"/>
      <c r="K290" s="5"/>
      <c r="L290" s="5"/>
      <c r="M290" s="5"/>
      <c r="N290" s="5"/>
    </row>
    <row r="291" spans="1:14" ht="42" customHeight="1">
      <c r="A291" s="5"/>
      <c r="B291" s="5"/>
      <c r="C291" s="5"/>
      <c r="D291" s="5"/>
      <c r="E291" s="5"/>
      <c r="F291" s="5"/>
      <c r="G291" s="5"/>
      <c r="H291" s="6"/>
      <c r="I291" s="5"/>
      <c r="J291" s="5"/>
      <c r="K291" s="5"/>
      <c r="L291" s="5"/>
      <c r="M291" s="5"/>
      <c r="N291" s="5"/>
    </row>
    <row r="292" spans="1:14" ht="42" customHeight="1">
      <c r="A292" s="5"/>
      <c r="B292" s="5"/>
      <c r="C292" s="5"/>
      <c r="D292" s="5"/>
      <c r="E292" s="5"/>
      <c r="F292" s="5"/>
      <c r="G292" s="5"/>
      <c r="H292" s="6"/>
      <c r="I292" s="5"/>
      <c r="J292" s="5"/>
      <c r="K292" s="5"/>
      <c r="L292" s="5"/>
      <c r="M292" s="5"/>
      <c r="N292" s="5"/>
    </row>
    <row r="293" spans="1:14" ht="42" customHeight="1">
      <c r="A293" s="5"/>
      <c r="B293" s="5"/>
      <c r="C293" s="5"/>
      <c r="D293" s="5"/>
      <c r="E293" s="5"/>
      <c r="F293" s="5"/>
      <c r="G293" s="5"/>
      <c r="H293" s="6"/>
      <c r="I293" s="5"/>
      <c r="J293" s="5"/>
      <c r="K293" s="5"/>
      <c r="L293" s="5"/>
      <c r="M293" s="5"/>
      <c r="N293" s="5"/>
    </row>
    <row r="294" spans="1:14" ht="42" customHeight="1">
      <c r="A294" s="5"/>
      <c r="B294" s="5"/>
      <c r="C294" s="5"/>
      <c r="D294" s="5"/>
      <c r="E294" s="5"/>
      <c r="F294" s="5"/>
      <c r="G294" s="5"/>
      <c r="H294" s="6"/>
      <c r="I294" s="5"/>
      <c r="J294" s="5"/>
      <c r="K294" s="5"/>
      <c r="L294" s="5"/>
      <c r="M294" s="5"/>
      <c r="N294" s="5"/>
    </row>
    <row r="295" spans="1:14" ht="42" customHeight="1">
      <c r="A295" s="5"/>
      <c r="B295" s="5"/>
      <c r="C295" s="5"/>
      <c r="D295" s="5"/>
      <c r="E295" s="5"/>
      <c r="F295" s="5"/>
      <c r="G295" s="5"/>
      <c r="H295" s="6"/>
      <c r="I295" s="5"/>
      <c r="J295" s="5"/>
      <c r="K295" s="5"/>
      <c r="L295" s="5"/>
      <c r="M295" s="5"/>
      <c r="N295" s="5"/>
    </row>
    <row r="296" spans="1:14" ht="42" customHeight="1">
      <c r="A296" s="5"/>
      <c r="B296" s="5"/>
      <c r="C296" s="5"/>
      <c r="D296" s="5"/>
      <c r="E296" s="5"/>
      <c r="F296" s="5"/>
      <c r="G296" s="5"/>
      <c r="H296" s="6"/>
      <c r="I296" s="5"/>
      <c r="J296" s="5"/>
      <c r="K296" s="5"/>
      <c r="L296" s="5"/>
      <c r="M296" s="5"/>
      <c r="N296" s="5"/>
    </row>
    <row r="297" spans="1:14" ht="42" customHeight="1">
      <c r="A297" s="5"/>
      <c r="B297" s="5"/>
      <c r="C297" s="5"/>
      <c r="D297" s="5"/>
      <c r="E297" s="5"/>
      <c r="F297" s="5"/>
      <c r="G297" s="5"/>
      <c r="H297" s="6"/>
      <c r="I297" s="5"/>
      <c r="J297" s="5"/>
      <c r="K297" s="5"/>
      <c r="L297" s="5"/>
      <c r="M297" s="5"/>
      <c r="N297" s="5"/>
    </row>
    <row r="298" spans="1:14" ht="42" customHeight="1">
      <c r="A298" s="5"/>
      <c r="B298" s="5"/>
      <c r="C298" s="5"/>
      <c r="D298" s="5"/>
      <c r="E298" s="5"/>
      <c r="F298" s="5"/>
      <c r="G298" s="5"/>
      <c r="H298" s="6"/>
      <c r="I298" s="5"/>
      <c r="J298" s="5"/>
      <c r="K298" s="5"/>
      <c r="L298" s="5"/>
      <c r="M298" s="5"/>
      <c r="N298" s="5"/>
    </row>
    <row r="299" spans="1:14" ht="42" customHeight="1">
      <c r="A299" s="5"/>
      <c r="B299" s="5"/>
      <c r="C299" s="5"/>
      <c r="D299" s="5"/>
      <c r="E299" s="5"/>
      <c r="F299" s="5"/>
      <c r="G299" s="5"/>
      <c r="H299" s="6"/>
      <c r="I299" s="5"/>
      <c r="J299" s="5"/>
      <c r="K299" s="5"/>
      <c r="L299" s="5"/>
      <c r="M299" s="5"/>
      <c r="N299" s="5"/>
    </row>
    <row r="300" spans="1:14" ht="42" customHeight="1">
      <c r="A300" s="5"/>
      <c r="B300" s="5"/>
      <c r="C300" s="5"/>
      <c r="D300" s="5"/>
      <c r="E300" s="5"/>
      <c r="F300" s="5"/>
      <c r="G300" s="5"/>
      <c r="H300" s="6"/>
      <c r="I300" s="5"/>
      <c r="J300" s="5"/>
      <c r="K300" s="5"/>
      <c r="L300" s="5"/>
      <c r="M300" s="5"/>
      <c r="N300" s="5"/>
    </row>
  </sheetData>
  <phoneticPr fontId="5" type="noConversion"/>
  <conditionalFormatting sqref="A2:N5 A6:E6 G6:N6 A7:N7 A8:D8 G8:N9 A9:E9 A10:N10 A11:E11 G11:N11 A12:N300">
    <cfRule type="expression" dxfId="7" priority="20">
      <formula>$G2="积极"</formula>
    </cfRule>
    <cfRule type="expression" dxfId="6" priority="21">
      <formula>$G2="已约面谈"</formula>
    </cfRule>
    <cfRule type="expression" dxfId="5" priority="22">
      <formula>$G2="需跟进"</formula>
    </cfRule>
    <cfRule type="expression" dxfId="4" priority="23">
      <formula>$G2="待发送"</formula>
    </cfRule>
    <cfRule type="expression" dxfId="3" priority="24">
      <formula>$G2="婉拒"</formula>
    </cfRule>
    <cfRule type="expression" dxfId="2" priority="25">
      <formula>$G2="无回复"</formula>
    </cfRule>
  </conditionalFormatting>
  <hyperlinks>
    <hyperlink ref="F3" r:id="rId1" xr:uid="{7C4E7859-797F-4017-A450-540210452B12}"/>
    <hyperlink ref="F2" r:id="rId2" xr:uid="{1488FD59-5BEB-4CF7-9F2C-DAD56C7A38E0}"/>
    <hyperlink ref="F4" r:id="rId3" xr:uid="{61255EC9-2DCF-483E-B4B1-C8FA581F6C99}"/>
    <hyperlink ref="F5" r:id="rId4" xr:uid="{EA0BB111-D9A5-41F2-B47D-A9811B8FF88E}"/>
    <hyperlink ref="F6" r:id="rId5" display="https://person.zju.edu.cn/siliang" xr:uid="{11E8ECBF-1424-4953-8E3B-0AEC7681AD89}"/>
    <hyperlink ref="F9" r:id="rId6" display="https://informatics.xmu.edu.cn/old/info/1395/25099.htm" xr:uid="{15F4D659-32FA-4282-B23E-25BC5E458ED9}"/>
    <hyperlink ref="F8" r:id="rId7" display="https://faculty.ustc.edu.cn/zhangtianzhu/zh_CN/index.htm" xr:uid="{1BFBBEDA-52B2-4F3D-9F51-6AC44DA2DD05}"/>
    <hyperlink ref="F10" r:id="rId8" xr:uid="{4F473A3C-F647-4BA7-A7C2-E0E935CEC2D1}"/>
    <hyperlink ref="F7" r:id="rId9" xr:uid="{9837280F-480A-4187-8AE4-CF06C39F31F2}"/>
    <hyperlink ref="F11" r:id="rId10" display="https://irsgis.pku.edu.cn/ls/gis1111/zf/index.htm" xr:uid="{A1384589-2AD3-463E-A192-FFFFE11F99DC}"/>
    <hyperlink ref="F12" r:id="rId11" xr:uid="{570524D4-2518-48D1-A800-94B81DAD712F}"/>
  </hyperlinks>
  <pageMargins left="0.75" right="0.75" top="1" bottom="1" header="0.5" footer="0.5"/>
  <tableParts count="1">
    <tablePart r:id="rId1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1000000}">
          <x14:formula1>
            <xm:f>选项!$J$2:$J$10</xm:f>
          </x14:formula1>
          <xm:sqref>G2:G300</xm:sqref>
        </x14:dataValidation>
        <x14:dataValidation type="list" allowBlank="1" xr:uid="{00000000-0002-0000-0200-000002000000}">
          <x14:formula1>
            <xm:f>选项!$K$2:$K$7</xm:f>
          </x14:formula1>
          <xm:sqref>I2:I300</xm:sqref>
        </x14:dataValidation>
        <x14:dataValidation type="list" allowBlank="1" xr:uid="{00000000-0002-0000-0200-000003000000}">
          <x14:formula1>
            <xm:f>选项!$A$2:$A$5</xm:f>
          </x14:formula1>
          <xm:sqref>M2:M300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3" customWidth="1"/>
    <col min="2" max="2" width="18" customWidth="1"/>
    <col min="3" max="3" width="12" customWidth="1"/>
    <col min="4" max="4" width="34" customWidth="1"/>
    <col min="5" max="5" width="10" customWidth="1"/>
    <col min="6" max="6" width="12" customWidth="1"/>
    <col min="7" max="7" width="24" customWidth="1"/>
  </cols>
  <sheetData>
    <row r="1" spans="1:7" ht="14.5">
      <c r="A1" s="8" t="s">
        <v>127</v>
      </c>
      <c r="B1" s="8" t="s">
        <v>24</v>
      </c>
      <c r="C1" s="8" t="s">
        <v>128</v>
      </c>
      <c r="D1" s="8" t="s">
        <v>129</v>
      </c>
      <c r="E1" s="8" t="s">
        <v>2</v>
      </c>
      <c r="F1" s="8" t="s">
        <v>130</v>
      </c>
      <c r="G1" s="8" t="s">
        <v>49</v>
      </c>
    </row>
    <row r="2" spans="1:7" ht="14.5">
      <c r="A2" s="5" t="str">
        <f>IFERROR(INDEX(院校信息总表!$AB$2:$AB$300,ROW()-1),"")</f>
        <v>2026-05-18</v>
      </c>
      <c r="B2" s="5" t="str">
        <f>IFERROR(INDEX(院校信息总表!$D$2:$D$300,ROW()-1),"")</f>
        <v>清华大学</v>
      </c>
      <c r="C2" s="5" t="str">
        <f>IFERROR(INDEX(院校信息总表!$L$2:$L$300,ROW()-1),"")</f>
        <v>夏令营</v>
      </c>
      <c r="D2" s="5" t="str">
        <f>IFERROR(INDEX(院校信息总表!$AA$2:$AA$300,ROW()-1),"")</f>
        <v>整理导师名单并发送套磁邮件</v>
      </c>
      <c r="E2" s="5" t="str">
        <f>IFERROR(INDEX(院校信息总表!$B$2:$B$300,ROW()-1),"")</f>
        <v>冲刺</v>
      </c>
      <c r="F2" s="5" t="str">
        <f>IFERROR(INDEX(院校信息总表!$C$2:$C$300,ROW()-1),"")</f>
        <v>待关注</v>
      </c>
      <c r="G2" s="5"/>
    </row>
    <row r="3" spans="1:7" ht="14.5">
      <c r="A3" s="5" t="str">
        <f>IFERROR(INDEX(院校信息总表!$AB$2:$AB$300,ROW()-1),"")</f>
        <v>2026-08-10</v>
      </c>
      <c r="B3" s="5" t="str">
        <f>IFERROR(INDEX(院校信息总表!$D$2:$D$300,ROW()-1),"")</f>
        <v>浙江大学</v>
      </c>
      <c r="C3" s="5" t="str">
        <f>IFERROR(INDEX(院校信息总表!$L$2:$L$300,ROW()-1),"")</f>
        <v>预推免</v>
      </c>
      <c r="D3" s="5" t="str">
        <f>IFERROR(INDEX(院校信息总表!$AA$2:$AA$300,ROW()-1),"")</f>
        <v>补充项目介绍页与机试刷题计划</v>
      </c>
      <c r="E3" s="5" t="str">
        <f>IFERROR(INDEX(院校信息总表!$B$2:$B$300,ROW()-1),"")</f>
        <v>稳妥</v>
      </c>
      <c r="F3" s="5" t="str">
        <f>IFERROR(INDEX(院校信息总表!$C$2:$C$300,ROW()-1),"")</f>
        <v>准备材料</v>
      </c>
      <c r="G3" s="5"/>
    </row>
    <row r="4" spans="1:7" ht="14.5">
      <c r="A4" s="5" t="str">
        <f>IFERROR(INDEX(院校信息总表!$AB$2:$AB$300,ROW()-1),"")</f>
        <v>2026-09-15</v>
      </c>
      <c r="B4" s="5" t="str">
        <f>IFERROR(INDEX(院校信息总表!$D$2:$D$300,ROW()-1),"")</f>
        <v>南京大学</v>
      </c>
      <c r="C4" s="5" t="str">
        <f>IFERROR(INDEX(院校信息总表!$L$2:$L$300,ROW()-1),"")</f>
        <v>九推</v>
      </c>
      <c r="D4" s="5" t="str">
        <f>IFERROR(INDEX(院校信息总表!$AA$2:$AA$300,ROW()-1),"")</f>
        <v>关注推免系统开放与学院通知</v>
      </c>
      <c r="E4" s="5" t="str">
        <f>IFERROR(INDEX(院校信息总表!$B$2:$B$300,ROW()-1),"")</f>
        <v>保底</v>
      </c>
      <c r="F4" s="5" t="str">
        <f>IFERROR(INDEX(院校信息总表!$C$2:$C$300,ROW()-1),"")</f>
        <v>待报名</v>
      </c>
      <c r="G4" s="5"/>
    </row>
    <row r="5" spans="1:7" ht="14.5">
      <c r="A5" s="5">
        <f>IFERROR(INDEX(院校信息总表!$AB$2:$AB$300,ROW()-1),"")</f>
        <v>0</v>
      </c>
      <c r="B5" s="5">
        <f>IFERROR(INDEX(院校信息总表!$D$2:$D$300,ROW()-1),"")</f>
        <v>0</v>
      </c>
      <c r="C5" s="5">
        <f>IFERROR(INDEX(院校信息总表!$L$2:$L$300,ROW()-1),"")</f>
        <v>0</v>
      </c>
      <c r="D5" s="5">
        <f>IFERROR(INDEX(院校信息总表!$AA$2:$AA$300,ROW()-1),"")</f>
        <v>0</v>
      </c>
      <c r="E5" s="5">
        <f>IFERROR(INDEX(院校信息总表!$B$2:$B$300,ROW()-1),"")</f>
        <v>0</v>
      </c>
      <c r="F5" s="5">
        <f>IFERROR(INDEX(院校信息总表!$C$2:$C$300,ROW()-1),"")</f>
        <v>0</v>
      </c>
      <c r="G5" s="5"/>
    </row>
    <row r="6" spans="1:7" ht="14.5">
      <c r="A6" s="5">
        <f>IFERROR(INDEX(院校信息总表!$AB$2:$AB$300,ROW()-1),"")</f>
        <v>0</v>
      </c>
      <c r="B6" s="5">
        <f>IFERROR(INDEX(院校信息总表!$D$2:$D$300,ROW()-1),"")</f>
        <v>0</v>
      </c>
      <c r="C6" s="5">
        <f>IFERROR(INDEX(院校信息总表!$L$2:$L$300,ROW()-1),"")</f>
        <v>0</v>
      </c>
      <c r="D6" s="5">
        <f>IFERROR(INDEX(院校信息总表!$AA$2:$AA$300,ROW()-1),"")</f>
        <v>0</v>
      </c>
      <c r="E6" s="5">
        <f>IFERROR(INDEX(院校信息总表!$B$2:$B$300,ROW()-1),"")</f>
        <v>0</v>
      </c>
      <c r="F6" s="5">
        <f>IFERROR(INDEX(院校信息总表!$C$2:$C$300,ROW()-1),"")</f>
        <v>0</v>
      </c>
      <c r="G6" s="5"/>
    </row>
    <row r="7" spans="1:7" ht="14.5">
      <c r="A7" s="5">
        <f>IFERROR(INDEX(院校信息总表!$AB$2:$AB$300,ROW()-1),"")</f>
        <v>0</v>
      </c>
      <c r="B7" s="5">
        <f>IFERROR(INDEX(院校信息总表!$D$2:$D$300,ROW()-1),"")</f>
        <v>0</v>
      </c>
      <c r="C7" s="5">
        <f>IFERROR(INDEX(院校信息总表!$L$2:$L$300,ROW()-1),"")</f>
        <v>0</v>
      </c>
      <c r="D7" s="5">
        <f>IFERROR(INDEX(院校信息总表!$AA$2:$AA$300,ROW()-1),"")</f>
        <v>0</v>
      </c>
      <c r="E7" s="5">
        <f>IFERROR(INDEX(院校信息总表!$B$2:$B$300,ROW()-1),"")</f>
        <v>0</v>
      </c>
      <c r="F7" s="5">
        <f>IFERROR(INDEX(院校信息总表!$C$2:$C$300,ROW()-1),"")</f>
        <v>0</v>
      </c>
      <c r="G7" s="5"/>
    </row>
    <row r="8" spans="1:7" ht="14.5">
      <c r="A8" s="5">
        <f>IFERROR(INDEX(院校信息总表!$AB$2:$AB$300,ROW()-1),"")</f>
        <v>0</v>
      </c>
      <c r="B8" s="5">
        <f>IFERROR(INDEX(院校信息总表!$D$2:$D$300,ROW()-1),"")</f>
        <v>0</v>
      </c>
      <c r="C8" s="5">
        <f>IFERROR(INDEX(院校信息总表!$L$2:$L$300,ROW()-1),"")</f>
        <v>0</v>
      </c>
      <c r="D8" s="5">
        <f>IFERROR(INDEX(院校信息总表!$AA$2:$AA$300,ROW()-1),"")</f>
        <v>0</v>
      </c>
      <c r="E8" s="5">
        <f>IFERROR(INDEX(院校信息总表!$B$2:$B$300,ROW()-1),"")</f>
        <v>0</v>
      </c>
      <c r="F8" s="5">
        <f>IFERROR(INDEX(院校信息总表!$C$2:$C$300,ROW()-1),"")</f>
        <v>0</v>
      </c>
      <c r="G8" s="5"/>
    </row>
    <row r="9" spans="1:7" ht="14.5">
      <c r="A9" s="5">
        <f>IFERROR(INDEX(院校信息总表!$AB$2:$AB$300,ROW()-1),"")</f>
        <v>0</v>
      </c>
      <c r="B9" s="5">
        <f>IFERROR(INDEX(院校信息总表!$D$2:$D$300,ROW()-1),"")</f>
        <v>0</v>
      </c>
      <c r="C9" s="5">
        <f>IFERROR(INDEX(院校信息总表!$L$2:$L$300,ROW()-1),"")</f>
        <v>0</v>
      </c>
      <c r="D9" s="5">
        <f>IFERROR(INDEX(院校信息总表!$AA$2:$AA$300,ROW()-1),"")</f>
        <v>0</v>
      </c>
      <c r="E9" s="5">
        <f>IFERROR(INDEX(院校信息总表!$B$2:$B$300,ROW()-1),"")</f>
        <v>0</v>
      </c>
      <c r="F9" s="5">
        <f>IFERROR(INDEX(院校信息总表!$C$2:$C$300,ROW()-1),"")</f>
        <v>0</v>
      </c>
      <c r="G9" s="5"/>
    </row>
    <row r="10" spans="1:7" ht="14.5">
      <c r="A10" s="5">
        <f>IFERROR(INDEX(院校信息总表!$AB$2:$AB$300,ROW()-1),"")</f>
        <v>0</v>
      </c>
      <c r="B10" s="5">
        <f>IFERROR(INDEX(院校信息总表!$D$2:$D$300,ROW()-1),"")</f>
        <v>0</v>
      </c>
      <c r="C10" s="5">
        <f>IFERROR(INDEX(院校信息总表!$L$2:$L$300,ROW()-1),"")</f>
        <v>0</v>
      </c>
      <c r="D10" s="5">
        <f>IFERROR(INDEX(院校信息总表!$AA$2:$AA$300,ROW()-1),"")</f>
        <v>0</v>
      </c>
      <c r="E10" s="5">
        <f>IFERROR(INDEX(院校信息总表!$B$2:$B$300,ROW()-1),"")</f>
        <v>0</v>
      </c>
      <c r="F10" s="5">
        <f>IFERROR(INDEX(院校信息总表!$C$2:$C$300,ROW()-1),"")</f>
        <v>0</v>
      </c>
      <c r="G10" s="5"/>
    </row>
    <row r="11" spans="1:7" ht="14.5">
      <c r="A11" s="5">
        <f>IFERROR(INDEX(院校信息总表!$AB$2:$AB$300,ROW()-1),"")</f>
        <v>0</v>
      </c>
      <c r="B11" s="5">
        <f>IFERROR(INDEX(院校信息总表!$D$2:$D$300,ROW()-1),"")</f>
        <v>0</v>
      </c>
      <c r="C11" s="5">
        <f>IFERROR(INDEX(院校信息总表!$L$2:$L$300,ROW()-1),"")</f>
        <v>0</v>
      </c>
      <c r="D11" s="5">
        <f>IFERROR(INDEX(院校信息总表!$AA$2:$AA$300,ROW()-1),"")</f>
        <v>0</v>
      </c>
      <c r="E11" s="5">
        <f>IFERROR(INDEX(院校信息总表!$B$2:$B$300,ROW()-1),"")</f>
        <v>0</v>
      </c>
      <c r="F11" s="5">
        <f>IFERROR(INDEX(院校信息总表!$C$2:$C$300,ROW()-1),"")</f>
        <v>0</v>
      </c>
      <c r="G11" s="5"/>
    </row>
    <row r="12" spans="1:7" ht="14.5">
      <c r="A12" s="5">
        <f>IFERROR(INDEX(院校信息总表!$AB$2:$AB$300,ROW()-1),"")</f>
        <v>0</v>
      </c>
      <c r="B12" s="5">
        <f>IFERROR(INDEX(院校信息总表!$D$2:$D$300,ROW()-1),"")</f>
        <v>0</v>
      </c>
      <c r="C12" s="5">
        <f>IFERROR(INDEX(院校信息总表!$L$2:$L$300,ROW()-1),"")</f>
        <v>0</v>
      </c>
      <c r="D12" s="5">
        <f>IFERROR(INDEX(院校信息总表!$AA$2:$AA$300,ROW()-1),"")</f>
        <v>0</v>
      </c>
      <c r="E12" s="5">
        <f>IFERROR(INDEX(院校信息总表!$B$2:$B$300,ROW()-1),"")</f>
        <v>0</v>
      </c>
      <c r="F12" s="5">
        <f>IFERROR(INDEX(院校信息总表!$C$2:$C$300,ROW()-1),"")</f>
        <v>0</v>
      </c>
      <c r="G12" s="5"/>
    </row>
    <row r="13" spans="1:7" ht="14.5">
      <c r="A13" s="5">
        <f>IFERROR(INDEX(院校信息总表!$AB$2:$AB$300,ROW()-1),"")</f>
        <v>0</v>
      </c>
      <c r="B13" s="5">
        <f>IFERROR(INDEX(院校信息总表!$D$2:$D$300,ROW()-1),"")</f>
        <v>0</v>
      </c>
      <c r="C13" s="5">
        <f>IFERROR(INDEX(院校信息总表!$L$2:$L$300,ROW()-1),"")</f>
        <v>0</v>
      </c>
      <c r="D13" s="5">
        <f>IFERROR(INDEX(院校信息总表!$AA$2:$AA$300,ROW()-1),"")</f>
        <v>0</v>
      </c>
      <c r="E13" s="5">
        <f>IFERROR(INDEX(院校信息总表!$B$2:$B$300,ROW()-1),"")</f>
        <v>0</v>
      </c>
      <c r="F13" s="5">
        <f>IFERROR(INDEX(院校信息总表!$C$2:$C$300,ROW()-1),"")</f>
        <v>0</v>
      </c>
      <c r="G13" s="5"/>
    </row>
    <row r="14" spans="1:7" ht="14.5">
      <c r="A14" s="5">
        <f>IFERROR(INDEX(院校信息总表!$AB$2:$AB$300,ROW()-1),"")</f>
        <v>0</v>
      </c>
      <c r="B14" s="5">
        <f>IFERROR(INDEX(院校信息总表!$D$2:$D$300,ROW()-1),"")</f>
        <v>0</v>
      </c>
      <c r="C14" s="5">
        <f>IFERROR(INDEX(院校信息总表!$L$2:$L$300,ROW()-1),"")</f>
        <v>0</v>
      </c>
      <c r="D14" s="5">
        <f>IFERROR(INDEX(院校信息总表!$AA$2:$AA$300,ROW()-1),"")</f>
        <v>0</v>
      </c>
      <c r="E14" s="5">
        <f>IFERROR(INDEX(院校信息总表!$B$2:$B$300,ROW()-1),"")</f>
        <v>0</v>
      </c>
      <c r="F14" s="5">
        <f>IFERROR(INDEX(院校信息总表!$C$2:$C$300,ROW()-1),"")</f>
        <v>0</v>
      </c>
      <c r="G14" s="5"/>
    </row>
    <row r="15" spans="1:7" ht="14.5">
      <c r="A15" s="5">
        <f>IFERROR(INDEX(院校信息总表!$AB$2:$AB$300,ROW()-1),"")</f>
        <v>0</v>
      </c>
      <c r="B15" s="5">
        <f>IFERROR(INDEX(院校信息总表!$D$2:$D$300,ROW()-1),"")</f>
        <v>0</v>
      </c>
      <c r="C15" s="5">
        <f>IFERROR(INDEX(院校信息总表!$L$2:$L$300,ROW()-1),"")</f>
        <v>0</v>
      </c>
      <c r="D15" s="5">
        <f>IFERROR(INDEX(院校信息总表!$AA$2:$AA$300,ROW()-1),"")</f>
        <v>0</v>
      </c>
      <c r="E15" s="5">
        <f>IFERROR(INDEX(院校信息总表!$B$2:$B$300,ROW()-1),"")</f>
        <v>0</v>
      </c>
      <c r="F15" s="5">
        <f>IFERROR(INDEX(院校信息总表!$C$2:$C$300,ROW()-1),"")</f>
        <v>0</v>
      </c>
      <c r="G15" s="5"/>
    </row>
    <row r="16" spans="1:7" ht="14.5">
      <c r="A16" s="5">
        <f>IFERROR(INDEX(院校信息总表!$AB$2:$AB$300,ROW()-1),"")</f>
        <v>0</v>
      </c>
      <c r="B16" s="5">
        <f>IFERROR(INDEX(院校信息总表!$D$2:$D$300,ROW()-1),"")</f>
        <v>0</v>
      </c>
      <c r="C16" s="5">
        <f>IFERROR(INDEX(院校信息总表!$L$2:$L$300,ROW()-1),"")</f>
        <v>0</v>
      </c>
      <c r="D16" s="5">
        <f>IFERROR(INDEX(院校信息总表!$AA$2:$AA$300,ROW()-1),"")</f>
        <v>0</v>
      </c>
      <c r="E16" s="5">
        <f>IFERROR(INDEX(院校信息总表!$B$2:$B$300,ROW()-1),"")</f>
        <v>0</v>
      </c>
      <c r="F16" s="5">
        <f>IFERROR(INDEX(院校信息总表!$C$2:$C$300,ROW()-1),"")</f>
        <v>0</v>
      </c>
      <c r="G16" s="5"/>
    </row>
    <row r="17" spans="1:7" ht="14.5">
      <c r="A17" s="5">
        <f>IFERROR(INDEX(院校信息总表!$AB$2:$AB$300,ROW()-1),"")</f>
        <v>0</v>
      </c>
      <c r="B17" s="5">
        <f>IFERROR(INDEX(院校信息总表!$D$2:$D$300,ROW()-1),"")</f>
        <v>0</v>
      </c>
      <c r="C17" s="5">
        <f>IFERROR(INDEX(院校信息总表!$L$2:$L$300,ROW()-1),"")</f>
        <v>0</v>
      </c>
      <c r="D17" s="5">
        <f>IFERROR(INDEX(院校信息总表!$AA$2:$AA$300,ROW()-1),"")</f>
        <v>0</v>
      </c>
      <c r="E17" s="5">
        <f>IFERROR(INDEX(院校信息总表!$B$2:$B$300,ROW()-1),"")</f>
        <v>0</v>
      </c>
      <c r="F17" s="5">
        <f>IFERROR(INDEX(院校信息总表!$C$2:$C$300,ROW()-1),"")</f>
        <v>0</v>
      </c>
      <c r="G17" s="5"/>
    </row>
    <row r="18" spans="1:7" ht="14.5">
      <c r="A18" s="5">
        <f>IFERROR(INDEX(院校信息总表!$AB$2:$AB$300,ROW()-1),"")</f>
        <v>0</v>
      </c>
      <c r="B18" s="5">
        <f>IFERROR(INDEX(院校信息总表!$D$2:$D$300,ROW()-1),"")</f>
        <v>0</v>
      </c>
      <c r="C18" s="5">
        <f>IFERROR(INDEX(院校信息总表!$L$2:$L$300,ROW()-1),"")</f>
        <v>0</v>
      </c>
      <c r="D18" s="5">
        <f>IFERROR(INDEX(院校信息总表!$AA$2:$AA$300,ROW()-1),"")</f>
        <v>0</v>
      </c>
      <c r="E18" s="5">
        <f>IFERROR(INDEX(院校信息总表!$B$2:$B$300,ROW()-1),"")</f>
        <v>0</v>
      </c>
      <c r="F18" s="5">
        <f>IFERROR(INDEX(院校信息总表!$C$2:$C$300,ROW()-1),"")</f>
        <v>0</v>
      </c>
      <c r="G18" s="5"/>
    </row>
    <row r="19" spans="1:7" ht="14.5">
      <c r="A19" s="5">
        <f>IFERROR(INDEX(院校信息总表!$AB$2:$AB$300,ROW()-1),"")</f>
        <v>0</v>
      </c>
      <c r="B19" s="5">
        <f>IFERROR(INDEX(院校信息总表!$D$2:$D$300,ROW()-1),"")</f>
        <v>0</v>
      </c>
      <c r="C19" s="5">
        <f>IFERROR(INDEX(院校信息总表!$L$2:$L$300,ROW()-1),"")</f>
        <v>0</v>
      </c>
      <c r="D19" s="5">
        <f>IFERROR(INDEX(院校信息总表!$AA$2:$AA$300,ROW()-1),"")</f>
        <v>0</v>
      </c>
      <c r="E19" s="5">
        <f>IFERROR(INDEX(院校信息总表!$B$2:$B$300,ROW()-1),"")</f>
        <v>0</v>
      </c>
      <c r="F19" s="5">
        <f>IFERROR(INDEX(院校信息总表!$C$2:$C$300,ROW()-1),"")</f>
        <v>0</v>
      </c>
      <c r="G19" s="5"/>
    </row>
    <row r="20" spans="1:7" ht="14.5">
      <c r="A20" s="5">
        <f>IFERROR(INDEX(院校信息总表!$AB$2:$AB$300,ROW()-1),"")</f>
        <v>0</v>
      </c>
      <c r="B20" s="5">
        <f>IFERROR(INDEX(院校信息总表!$D$2:$D$300,ROW()-1),"")</f>
        <v>0</v>
      </c>
      <c r="C20" s="5">
        <f>IFERROR(INDEX(院校信息总表!$L$2:$L$300,ROW()-1),"")</f>
        <v>0</v>
      </c>
      <c r="D20" s="5">
        <f>IFERROR(INDEX(院校信息总表!$AA$2:$AA$300,ROW()-1),"")</f>
        <v>0</v>
      </c>
      <c r="E20" s="5">
        <f>IFERROR(INDEX(院校信息总表!$B$2:$B$300,ROW()-1),"")</f>
        <v>0</v>
      </c>
      <c r="F20" s="5">
        <f>IFERROR(INDEX(院校信息总表!$C$2:$C$300,ROW()-1),"")</f>
        <v>0</v>
      </c>
      <c r="G20" s="5"/>
    </row>
    <row r="21" spans="1:7" ht="14.5">
      <c r="A21" s="5">
        <f>IFERROR(INDEX(院校信息总表!$AB$2:$AB$300,ROW()-1),"")</f>
        <v>0</v>
      </c>
      <c r="B21" s="5">
        <f>IFERROR(INDEX(院校信息总表!$D$2:$D$300,ROW()-1),"")</f>
        <v>0</v>
      </c>
      <c r="C21" s="5">
        <f>IFERROR(INDEX(院校信息总表!$L$2:$L$300,ROW()-1),"")</f>
        <v>0</v>
      </c>
      <c r="D21" s="5">
        <f>IFERROR(INDEX(院校信息总表!$AA$2:$AA$300,ROW()-1),"")</f>
        <v>0</v>
      </c>
      <c r="E21" s="5">
        <f>IFERROR(INDEX(院校信息总表!$B$2:$B$300,ROW()-1),"")</f>
        <v>0</v>
      </c>
      <c r="F21" s="5">
        <f>IFERROR(INDEX(院校信息总表!$C$2:$C$300,ROW()-1),"")</f>
        <v>0</v>
      </c>
      <c r="G21" s="5"/>
    </row>
    <row r="22" spans="1:7" ht="14.5">
      <c r="A22" s="5">
        <f>IFERROR(INDEX(院校信息总表!$AB$2:$AB$300,ROW()-1),"")</f>
        <v>0</v>
      </c>
      <c r="B22" s="5">
        <f>IFERROR(INDEX(院校信息总表!$D$2:$D$300,ROW()-1),"")</f>
        <v>0</v>
      </c>
      <c r="C22" s="5">
        <f>IFERROR(INDEX(院校信息总表!$L$2:$L$300,ROW()-1),"")</f>
        <v>0</v>
      </c>
      <c r="D22" s="5">
        <f>IFERROR(INDEX(院校信息总表!$AA$2:$AA$300,ROW()-1),"")</f>
        <v>0</v>
      </c>
      <c r="E22" s="5">
        <f>IFERROR(INDEX(院校信息总表!$B$2:$B$300,ROW()-1),"")</f>
        <v>0</v>
      </c>
      <c r="F22" s="5">
        <f>IFERROR(INDEX(院校信息总表!$C$2:$C$300,ROW()-1),"")</f>
        <v>0</v>
      </c>
      <c r="G22" s="5"/>
    </row>
    <row r="23" spans="1:7" ht="14.5">
      <c r="A23" s="5">
        <f>IFERROR(INDEX(院校信息总表!$AB$2:$AB$300,ROW()-1),"")</f>
        <v>0</v>
      </c>
      <c r="B23" s="5">
        <f>IFERROR(INDEX(院校信息总表!$D$2:$D$300,ROW()-1),"")</f>
        <v>0</v>
      </c>
      <c r="C23" s="5">
        <f>IFERROR(INDEX(院校信息总表!$L$2:$L$300,ROW()-1),"")</f>
        <v>0</v>
      </c>
      <c r="D23" s="5">
        <f>IFERROR(INDEX(院校信息总表!$AA$2:$AA$300,ROW()-1),"")</f>
        <v>0</v>
      </c>
      <c r="E23" s="5">
        <f>IFERROR(INDEX(院校信息总表!$B$2:$B$300,ROW()-1),"")</f>
        <v>0</v>
      </c>
      <c r="F23" s="5">
        <f>IFERROR(INDEX(院校信息总表!$C$2:$C$300,ROW()-1),"")</f>
        <v>0</v>
      </c>
      <c r="G23" s="5"/>
    </row>
    <row r="24" spans="1:7" ht="14.5">
      <c r="A24" s="5">
        <f>IFERROR(INDEX(院校信息总表!$AB$2:$AB$300,ROW()-1),"")</f>
        <v>0</v>
      </c>
      <c r="B24" s="5">
        <f>IFERROR(INDEX(院校信息总表!$D$2:$D$300,ROW()-1),"")</f>
        <v>0</v>
      </c>
      <c r="C24" s="5">
        <f>IFERROR(INDEX(院校信息总表!$L$2:$L$300,ROW()-1),"")</f>
        <v>0</v>
      </c>
      <c r="D24" s="5">
        <f>IFERROR(INDEX(院校信息总表!$AA$2:$AA$300,ROW()-1),"")</f>
        <v>0</v>
      </c>
      <c r="E24" s="5">
        <f>IFERROR(INDEX(院校信息总表!$B$2:$B$300,ROW()-1),"")</f>
        <v>0</v>
      </c>
      <c r="F24" s="5">
        <f>IFERROR(INDEX(院校信息总表!$C$2:$C$300,ROW()-1),"")</f>
        <v>0</v>
      </c>
      <c r="G24" s="5"/>
    </row>
    <row r="25" spans="1:7" ht="14.5">
      <c r="A25" s="5">
        <f>IFERROR(INDEX(院校信息总表!$AB$2:$AB$300,ROW()-1),"")</f>
        <v>0</v>
      </c>
      <c r="B25" s="5">
        <f>IFERROR(INDEX(院校信息总表!$D$2:$D$300,ROW()-1),"")</f>
        <v>0</v>
      </c>
      <c r="C25" s="5">
        <f>IFERROR(INDEX(院校信息总表!$L$2:$L$300,ROW()-1),"")</f>
        <v>0</v>
      </c>
      <c r="D25" s="5">
        <f>IFERROR(INDEX(院校信息总表!$AA$2:$AA$300,ROW()-1),"")</f>
        <v>0</v>
      </c>
      <c r="E25" s="5">
        <f>IFERROR(INDEX(院校信息总表!$B$2:$B$300,ROW()-1),"")</f>
        <v>0</v>
      </c>
      <c r="F25" s="5">
        <f>IFERROR(INDEX(院校信息总表!$C$2:$C$300,ROW()-1),"")</f>
        <v>0</v>
      </c>
      <c r="G25" s="5"/>
    </row>
    <row r="26" spans="1:7" ht="14.5">
      <c r="A26" s="5">
        <f>IFERROR(INDEX(院校信息总表!$AB$2:$AB$300,ROW()-1),"")</f>
        <v>0</v>
      </c>
      <c r="B26" s="5">
        <f>IFERROR(INDEX(院校信息总表!$D$2:$D$300,ROW()-1),"")</f>
        <v>0</v>
      </c>
      <c r="C26" s="5">
        <f>IFERROR(INDEX(院校信息总表!$L$2:$L$300,ROW()-1),"")</f>
        <v>0</v>
      </c>
      <c r="D26" s="5">
        <f>IFERROR(INDEX(院校信息总表!$AA$2:$AA$300,ROW()-1),"")</f>
        <v>0</v>
      </c>
      <c r="E26" s="5">
        <f>IFERROR(INDEX(院校信息总表!$B$2:$B$300,ROW()-1),"")</f>
        <v>0</v>
      </c>
      <c r="F26" s="5">
        <f>IFERROR(INDEX(院校信息总表!$C$2:$C$300,ROW()-1),"")</f>
        <v>0</v>
      </c>
      <c r="G26" s="5"/>
    </row>
    <row r="27" spans="1:7" ht="14.5">
      <c r="A27" s="5">
        <f>IFERROR(INDEX(院校信息总表!$AB$2:$AB$300,ROW()-1),"")</f>
        <v>0</v>
      </c>
      <c r="B27" s="5">
        <f>IFERROR(INDEX(院校信息总表!$D$2:$D$300,ROW()-1),"")</f>
        <v>0</v>
      </c>
      <c r="C27" s="5">
        <f>IFERROR(INDEX(院校信息总表!$L$2:$L$300,ROW()-1),"")</f>
        <v>0</v>
      </c>
      <c r="D27" s="5">
        <f>IFERROR(INDEX(院校信息总表!$AA$2:$AA$300,ROW()-1),"")</f>
        <v>0</v>
      </c>
      <c r="E27" s="5">
        <f>IFERROR(INDEX(院校信息总表!$B$2:$B$300,ROW()-1),"")</f>
        <v>0</v>
      </c>
      <c r="F27" s="5">
        <f>IFERROR(INDEX(院校信息总表!$C$2:$C$300,ROW()-1),"")</f>
        <v>0</v>
      </c>
      <c r="G27" s="5"/>
    </row>
    <row r="28" spans="1:7" ht="14.5">
      <c r="A28" s="5">
        <f>IFERROR(INDEX(院校信息总表!$AB$2:$AB$300,ROW()-1),"")</f>
        <v>0</v>
      </c>
      <c r="B28" s="5">
        <f>IFERROR(INDEX(院校信息总表!$D$2:$D$300,ROW()-1),"")</f>
        <v>0</v>
      </c>
      <c r="C28" s="5">
        <f>IFERROR(INDEX(院校信息总表!$L$2:$L$300,ROW()-1),"")</f>
        <v>0</v>
      </c>
      <c r="D28" s="5">
        <f>IFERROR(INDEX(院校信息总表!$AA$2:$AA$300,ROW()-1),"")</f>
        <v>0</v>
      </c>
      <c r="E28" s="5">
        <f>IFERROR(INDEX(院校信息总表!$B$2:$B$300,ROW()-1),"")</f>
        <v>0</v>
      </c>
      <c r="F28" s="5">
        <f>IFERROR(INDEX(院校信息总表!$C$2:$C$300,ROW()-1),"")</f>
        <v>0</v>
      </c>
      <c r="G28" s="5"/>
    </row>
    <row r="29" spans="1:7" ht="14.5">
      <c r="A29" s="5">
        <f>IFERROR(INDEX(院校信息总表!$AB$2:$AB$300,ROW()-1),"")</f>
        <v>0</v>
      </c>
      <c r="B29" s="5">
        <f>IFERROR(INDEX(院校信息总表!$D$2:$D$300,ROW()-1),"")</f>
        <v>0</v>
      </c>
      <c r="C29" s="5">
        <f>IFERROR(INDEX(院校信息总表!$L$2:$L$300,ROW()-1),"")</f>
        <v>0</v>
      </c>
      <c r="D29" s="5">
        <f>IFERROR(INDEX(院校信息总表!$AA$2:$AA$300,ROW()-1),"")</f>
        <v>0</v>
      </c>
      <c r="E29" s="5">
        <f>IFERROR(INDEX(院校信息总表!$B$2:$B$300,ROW()-1),"")</f>
        <v>0</v>
      </c>
      <c r="F29" s="5">
        <f>IFERROR(INDEX(院校信息总表!$C$2:$C$300,ROW()-1),"")</f>
        <v>0</v>
      </c>
      <c r="G29" s="5"/>
    </row>
    <row r="30" spans="1:7" ht="14.5">
      <c r="A30" s="5">
        <f>IFERROR(INDEX(院校信息总表!$AB$2:$AB$300,ROW()-1),"")</f>
        <v>0</v>
      </c>
      <c r="B30" s="5">
        <f>IFERROR(INDEX(院校信息总表!$D$2:$D$300,ROW()-1),"")</f>
        <v>0</v>
      </c>
      <c r="C30" s="5">
        <f>IFERROR(INDEX(院校信息总表!$L$2:$L$300,ROW()-1),"")</f>
        <v>0</v>
      </c>
      <c r="D30" s="5">
        <f>IFERROR(INDEX(院校信息总表!$AA$2:$AA$300,ROW()-1),"")</f>
        <v>0</v>
      </c>
      <c r="E30" s="5">
        <f>IFERROR(INDEX(院校信息总表!$B$2:$B$300,ROW()-1),"")</f>
        <v>0</v>
      </c>
      <c r="F30" s="5">
        <f>IFERROR(INDEX(院校信息总表!$C$2:$C$300,ROW()-1),"")</f>
        <v>0</v>
      </c>
      <c r="G30" s="5"/>
    </row>
    <row r="31" spans="1:7" ht="14.5">
      <c r="A31" s="5">
        <f>IFERROR(INDEX(院校信息总表!$AB$2:$AB$300,ROW()-1),"")</f>
        <v>0</v>
      </c>
      <c r="B31" s="5">
        <f>IFERROR(INDEX(院校信息总表!$D$2:$D$300,ROW()-1),"")</f>
        <v>0</v>
      </c>
      <c r="C31" s="5">
        <f>IFERROR(INDEX(院校信息总表!$L$2:$L$300,ROW()-1),"")</f>
        <v>0</v>
      </c>
      <c r="D31" s="5">
        <f>IFERROR(INDEX(院校信息总表!$AA$2:$AA$300,ROW()-1),"")</f>
        <v>0</v>
      </c>
      <c r="E31" s="5">
        <f>IFERROR(INDEX(院校信息总表!$B$2:$B$300,ROW()-1),"")</f>
        <v>0</v>
      </c>
      <c r="F31" s="5">
        <f>IFERROR(INDEX(院校信息总表!$C$2:$C$300,ROW()-1),"")</f>
        <v>0</v>
      </c>
      <c r="G31" s="5"/>
    </row>
    <row r="32" spans="1:7" ht="14.5">
      <c r="A32" s="5">
        <f>IFERROR(INDEX(院校信息总表!$AB$2:$AB$300,ROW()-1),"")</f>
        <v>0</v>
      </c>
      <c r="B32" s="5">
        <f>IFERROR(INDEX(院校信息总表!$D$2:$D$300,ROW()-1),"")</f>
        <v>0</v>
      </c>
      <c r="C32" s="5">
        <f>IFERROR(INDEX(院校信息总表!$L$2:$L$300,ROW()-1),"")</f>
        <v>0</v>
      </c>
      <c r="D32" s="5">
        <f>IFERROR(INDEX(院校信息总表!$AA$2:$AA$300,ROW()-1),"")</f>
        <v>0</v>
      </c>
      <c r="E32" s="5">
        <f>IFERROR(INDEX(院校信息总表!$B$2:$B$300,ROW()-1),"")</f>
        <v>0</v>
      </c>
      <c r="F32" s="5">
        <f>IFERROR(INDEX(院校信息总表!$C$2:$C$300,ROW()-1),"")</f>
        <v>0</v>
      </c>
      <c r="G32" s="5"/>
    </row>
    <row r="33" spans="1:7" ht="14.5">
      <c r="A33" s="5">
        <f>IFERROR(INDEX(院校信息总表!$AB$2:$AB$300,ROW()-1),"")</f>
        <v>0</v>
      </c>
      <c r="B33" s="5">
        <f>IFERROR(INDEX(院校信息总表!$D$2:$D$300,ROW()-1),"")</f>
        <v>0</v>
      </c>
      <c r="C33" s="5">
        <f>IFERROR(INDEX(院校信息总表!$L$2:$L$300,ROW()-1),"")</f>
        <v>0</v>
      </c>
      <c r="D33" s="5">
        <f>IFERROR(INDEX(院校信息总表!$AA$2:$AA$300,ROW()-1),"")</f>
        <v>0</v>
      </c>
      <c r="E33" s="5">
        <f>IFERROR(INDEX(院校信息总表!$B$2:$B$300,ROW()-1),"")</f>
        <v>0</v>
      </c>
      <c r="F33" s="5">
        <f>IFERROR(INDEX(院校信息总表!$C$2:$C$300,ROW()-1),"")</f>
        <v>0</v>
      </c>
      <c r="G33" s="5"/>
    </row>
    <row r="34" spans="1:7" ht="14.5">
      <c r="A34" s="5">
        <f>IFERROR(INDEX(院校信息总表!$AB$2:$AB$300,ROW()-1),"")</f>
        <v>0</v>
      </c>
      <c r="B34" s="5">
        <f>IFERROR(INDEX(院校信息总表!$D$2:$D$300,ROW()-1),"")</f>
        <v>0</v>
      </c>
      <c r="C34" s="5">
        <f>IFERROR(INDEX(院校信息总表!$L$2:$L$300,ROW()-1),"")</f>
        <v>0</v>
      </c>
      <c r="D34" s="5">
        <f>IFERROR(INDEX(院校信息总表!$AA$2:$AA$300,ROW()-1),"")</f>
        <v>0</v>
      </c>
      <c r="E34" s="5">
        <f>IFERROR(INDEX(院校信息总表!$B$2:$B$300,ROW()-1),"")</f>
        <v>0</v>
      </c>
      <c r="F34" s="5">
        <f>IFERROR(INDEX(院校信息总表!$C$2:$C$300,ROW()-1),"")</f>
        <v>0</v>
      </c>
      <c r="G34" s="5"/>
    </row>
    <row r="35" spans="1:7" ht="14.5">
      <c r="A35" s="5">
        <f>IFERROR(INDEX(院校信息总表!$AB$2:$AB$300,ROW()-1),"")</f>
        <v>0</v>
      </c>
      <c r="B35" s="5">
        <f>IFERROR(INDEX(院校信息总表!$D$2:$D$300,ROW()-1),"")</f>
        <v>0</v>
      </c>
      <c r="C35" s="5">
        <f>IFERROR(INDEX(院校信息总表!$L$2:$L$300,ROW()-1),"")</f>
        <v>0</v>
      </c>
      <c r="D35" s="5">
        <f>IFERROR(INDEX(院校信息总表!$AA$2:$AA$300,ROW()-1),"")</f>
        <v>0</v>
      </c>
      <c r="E35" s="5">
        <f>IFERROR(INDEX(院校信息总表!$B$2:$B$300,ROW()-1),"")</f>
        <v>0</v>
      </c>
      <c r="F35" s="5">
        <f>IFERROR(INDEX(院校信息总表!$C$2:$C$300,ROW()-1),"")</f>
        <v>0</v>
      </c>
      <c r="G35" s="5"/>
    </row>
    <row r="36" spans="1:7" ht="14.5">
      <c r="A36" s="5">
        <f>IFERROR(INDEX(院校信息总表!$AB$2:$AB$300,ROW()-1),"")</f>
        <v>0</v>
      </c>
      <c r="B36" s="5">
        <f>IFERROR(INDEX(院校信息总表!$D$2:$D$300,ROW()-1),"")</f>
        <v>0</v>
      </c>
      <c r="C36" s="5">
        <f>IFERROR(INDEX(院校信息总表!$L$2:$L$300,ROW()-1),"")</f>
        <v>0</v>
      </c>
      <c r="D36" s="5">
        <f>IFERROR(INDEX(院校信息总表!$AA$2:$AA$300,ROW()-1),"")</f>
        <v>0</v>
      </c>
      <c r="E36" s="5">
        <f>IFERROR(INDEX(院校信息总表!$B$2:$B$300,ROW()-1),"")</f>
        <v>0</v>
      </c>
      <c r="F36" s="5">
        <f>IFERROR(INDEX(院校信息总表!$C$2:$C$300,ROW()-1),"")</f>
        <v>0</v>
      </c>
      <c r="G36" s="5"/>
    </row>
    <row r="37" spans="1:7" ht="14.5">
      <c r="A37" s="5">
        <f>IFERROR(INDEX(院校信息总表!$AB$2:$AB$300,ROW()-1),"")</f>
        <v>0</v>
      </c>
      <c r="B37" s="5">
        <f>IFERROR(INDEX(院校信息总表!$D$2:$D$300,ROW()-1),"")</f>
        <v>0</v>
      </c>
      <c r="C37" s="5">
        <f>IFERROR(INDEX(院校信息总表!$L$2:$L$300,ROW()-1),"")</f>
        <v>0</v>
      </c>
      <c r="D37" s="5">
        <f>IFERROR(INDEX(院校信息总表!$AA$2:$AA$300,ROW()-1),"")</f>
        <v>0</v>
      </c>
      <c r="E37" s="5">
        <f>IFERROR(INDEX(院校信息总表!$B$2:$B$300,ROW()-1),"")</f>
        <v>0</v>
      </c>
      <c r="F37" s="5">
        <f>IFERROR(INDEX(院校信息总表!$C$2:$C$300,ROW()-1),"")</f>
        <v>0</v>
      </c>
      <c r="G37" s="5"/>
    </row>
    <row r="38" spans="1:7" ht="14.5">
      <c r="A38" s="5">
        <f>IFERROR(INDEX(院校信息总表!$AB$2:$AB$300,ROW()-1),"")</f>
        <v>0</v>
      </c>
      <c r="B38" s="5">
        <f>IFERROR(INDEX(院校信息总表!$D$2:$D$300,ROW()-1),"")</f>
        <v>0</v>
      </c>
      <c r="C38" s="5">
        <f>IFERROR(INDEX(院校信息总表!$L$2:$L$300,ROW()-1),"")</f>
        <v>0</v>
      </c>
      <c r="D38" s="5">
        <f>IFERROR(INDEX(院校信息总表!$AA$2:$AA$300,ROW()-1),"")</f>
        <v>0</v>
      </c>
      <c r="E38" s="5">
        <f>IFERROR(INDEX(院校信息总表!$B$2:$B$300,ROW()-1),"")</f>
        <v>0</v>
      </c>
      <c r="F38" s="5">
        <f>IFERROR(INDEX(院校信息总表!$C$2:$C$300,ROW()-1),"")</f>
        <v>0</v>
      </c>
      <c r="G38" s="5"/>
    </row>
    <row r="39" spans="1:7" ht="14.5">
      <c r="A39" s="5">
        <f>IFERROR(INDEX(院校信息总表!$AB$2:$AB$300,ROW()-1),"")</f>
        <v>0</v>
      </c>
      <c r="B39" s="5">
        <f>IFERROR(INDEX(院校信息总表!$D$2:$D$300,ROW()-1),"")</f>
        <v>0</v>
      </c>
      <c r="C39" s="5">
        <f>IFERROR(INDEX(院校信息总表!$L$2:$L$300,ROW()-1),"")</f>
        <v>0</v>
      </c>
      <c r="D39" s="5">
        <f>IFERROR(INDEX(院校信息总表!$AA$2:$AA$300,ROW()-1),"")</f>
        <v>0</v>
      </c>
      <c r="E39" s="5">
        <f>IFERROR(INDEX(院校信息总表!$B$2:$B$300,ROW()-1),"")</f>
        <v>0</v>
      </c>
      <c r="F39" s="5">
        <f>IFERROR(INDEX(院校信息总表!$C$2:$C$300,ROW()-1),"")</f>
        <v>0</v>
      </c>
      <c r="G39" s="5"/>
    </row>
    <row r="40" spans="1:7" ht="14.5">
      <c r="A40" s="5">
        <f>IFERROR(INDEX(院校信息总表!$AB$2:$AB$300,ROW()-1),"")</f>
        <v>0</v>
      </c>
      <c r="B40" s="5">
        <f>IFERROR(INDEX(院校信息总表!$D$2:$D$300,ROW()-1),"")</f>
        <v>0</v>
      </c>
      <c r="C40" s="5">
        <f>IFERROR(INDEX(院校信息总表!$L$2:$L$300,ROW()-1),"")</f>
        <v>0</v>
      </c>
      <c r="D40" s="5">
        <f>IFERROR(INDEX(院校信息总表!$AA$2:$AA$300,ROW()-1),"")</f>
        <v>0</v>
      </c>
      <c r="E40" s="5">
        <f>IFERROR(INDEX(院校信息总表!$B$2:$B$300,ROW()-1),"")</f>
        <v>0</v>
      </c>
      <c r="F40" s="5">
        <f>IFERROR(INDEX(院校信息总表!$C$2:$C$300,ROW()-1),"")</f>
        <v>0</v>
      </c>
      <c r="G40" s="5"/>
    </row>
    <row r="41" spans="1:7" ht="14.5">
      <c r="A41" s="5">
        <f>IFERROR(INDEX(院校信息总表!$AB$2:$AB$300,ROW()-1),"")</f>
        <v>0</v>
      </c>
      <c r="B41" s="5">
        <f>IFERROR(INDEX(院校信息总表!$D$2:$D$300,ROW()-1),"")</f>
        <v>0</v>
      </c>
      <c r="C41" s="5">
        <f>IFERROR(INDEX(院校信息总表!$L$2:$L$300,ROW()-1),"")</f>
        <v>0</v>
      </c>
      <c r="D41" s="5">
        <f>IFERROR(INDEX(院校信息总表!$AA$2:$AA$300,ROW()-1),"")</f>
        <v>0</v>
      </c>
      <c r="E41" s="5">
        <f>IFERROR(INDEX(院校信息总表!$B$2:$B$300,ROW()-1),"")</f>
        <v>0</v>
      </c>
      <c r="F41" s="5">
        <f>IFERROR(INDEX(院校信息总表!$C$2:$C$300,ROW()-1),"")</f>
        <v>0</v>
      </c>
      <c r="G41" s="5"/>
    </row>
    <row r="42" spans="1:7" ht="14.5">
      <c r="A42" s="5">
        <f>IFERROR(INDEX(院校信息总表!$AB$2:$AB$300,ROW()-1),"")</f>
        <v>0</v>
      </c>
      <c r="B42" s="5">
        <f>IFERROR(INDEX(院校信息总表!$D$2:$D$300,ROW()-1),"")</f>
        <v>0</v>
      </c>
      <c r="C42" s="5">
        <f>IFERROR(INDEX(院校信息总表!$L$2:$L$300,ROW()-1),"")</f>
        <v>0</v>
      </c>
      <c r="D42" s="5">
        <f>IFERROR(INDEX(院校信息总表!$AA$2:$AA$300,ROW()-1),"")</f>
        <v>0</v>
      </c>
      <c r="E42" s="5">
        <f>IFERROR(INDEX(院校信息总表!$B$2:$B$300,ROW()-1),"")</f>
        <v>0</v>
      </c>
      <c r="F42" s="5">
        <f>IFERROR(INDEX(院校信息总表!$C$2:$C$300,ROW()-1),"")</f>
        <v>0</v>
      </c>
      <c r="G42" s="5"/>
    </row>
    <row r="43" spans="1:7" ht="14.5">
      <c r="A43" s="5">
        <f>IFERROR(INDEX(院校信息总表!$AB$2:$AB$300,ROW()-1),"")</f>
        <v>0</v>
      </c>
      <c r="B43" s="5">
        <f>IFERROR(INDEX(院校信息总表!$D$2:$D$300,ROW()-1),"")</f>
        <v>0</v>
      </c>
      <c r="C43" s="5">
        <f>IFERROR(INDEX(院校信息总表!$L$2:$L$300,ROW()-1),"")</f>
        <v>0</v>
      </c>
      <c r="D43" s="5">
        <f>IFERROR(INDEX(院校信息总表!$AA$2:$AA$300,ROW()-1),"")</f>
        <v>0</v>
      </c>
      <c r="E43" s="5">
        <f>IFERROR(INDEX(院校信息总表!$B$2:$B$300,ROW()-1),"")</f>
        <v>0</v>
      </c>
      <c r="F43" s="5">
        <f>IFERROR(INDEX(院校信息总表!$C$2:$C$300,ROW()-1),"")</f>
        <v>0</v>
      </c>
      <c r="G43" s="5"/>
    </row>
    <row r="44" spans="1:7" ht="14.5">
      <c r="A44" s="5">
        <f>IFERROR(INDEX(院校信息总表!$AB$2:$AB$300,ROW()-1),"")</f>
        <v>0</v>
      </c>
      <c r="B44" s="5">
        <f>IFERROR(INDEX(院校信息总表!$D$2:$D$300,ROW()-1),"")</f>
        <v>0</v>
      </c>
      <c r="C44" s="5">
        <f>IFERROR(INDEX(院校信息总表!$L$2:$L$300,ROW()-1),"")</f>
        <v>0</v>
      </c>
      <c r="D44" s="5">
        <f>IFERROR(INDEX(院校信息总表!$AA$2:$AA$300,ROW()-1),"")</f>
        <v>0</v>
      </c>
      <c r="E44" s="5">
        <f>IFERROR(INDEX(院校信息总表!$B$2:$B$300,ROW()-1),"")</f>
        <v>0</v>
      </c>
      <c r="F44" s="5">
        <f>IFERROR(INDEX(院校信息总表!$C$2:$C$300,ROW()-1),"")</f>
        <v>0</v>
      </c>
      <c r="G44" s="5"/>
    </row>
    <row r="45" spans="1:7" ht="14.5">
      <c r="A45" s="5">
        <f>IFERROR(INDEX(院校信息总表!$AB$2:$AB$300,ROW()-1),"")</f>
        <v>0</v>
      </c>
      <c r="B45" s="5">
        <f>IFERROR(INDEX(院校信息总表!$D$2:$D$300,ROW()-1),"")</f>
        <v>0</v>
      </c>
      <c r="C45" s="5">
        <f>IFERROR(INDEX(院校信息总表!$L$2:$L$300,ROW()-1),"")</f>
        <v>0</v>
      </c>
      <c r="D45" s="5">
        <f>IFERROR(INDEX(院校信息总表!$AA$2:$AA$300,ROW()-1),"")</f>
        <v>0</v>
      </c>
      <c r="E45" s="5">
        <f>IFERROR(INDEX(院校信息总表!$B$2:$B$300,ROW()-1),"")</f>
        <v>0</v>
      </c>
      <c r="F45" s="5">
        <f>IFERROR(INDEX(院校信息总表!$C$2:$C$300,ROW()-1),"")</f>
        <v>0</v>
      </c>
      <c r="G45" s="5"/>
    </row>
    <row r="46" spans="1:7" ht="14.5">
      <c r="A46" s="5">
        <f>IFERROR(INDEX(院校信息总表!$AB$2:$AB$300,ROW()-1),"")</f>
        <v>0</v>
      </c>
      <c r="B46" s="5">
        <f>IFERROR(INDEX(院校信息总表!$D$2:$D$300,ROW()-1),"")</f>
        <v>0</v>
      </c>
      <c r="C46" s="5">
        <f>IFERROR(INDEX(院校信息总表!$L$2:$L$300,ROW()-1),"")</f>
        <v>0</v>
      </c>
      <c r="D46" s="5">
        <f>IFERROR(INDEX(院校信息总表!$AA$2:$AA$300,ROW()-1),"")</f>
        <v>0</v>
      </c>
      <c r="E46" s="5">
        <f>IFERROR(INDEX(院校信息总表!$B$2:$B$300,ROW()-1),"")</f>
        <v>0</v>
      </c>
      <c r="F46" s="5">
        <f>IFERROR(INDEX(院校信息总表!$C$2:$C$300,ROW()-1),"")</f>
        <v>0</v>
      </c>
      <c r="G46" s="5"/>
    </row>
    <row r="47" spans="1:7" ht="14.5">
      <c r="A47" s="5">
        <f>IFERROR(INDEX(院校信息总表!$AB$2:$AB$300,ROW()-1),"")</f>
        <v>0</v>
      </c>
      <c r="B47" s="5">
        <f>IFERROR(INDEX(院校信息总表!$D$2:$D$300,ROW()-1),"")</f>
        <v>0</v>
      </c>
      <c r="C47" s="5">
        <f>IFERROR(INDEX(院校信息总表!$L$2:$L$300,ROW()-1),"")</f>
        <v>0</v>
      </c>
      <c r="D47" s="5">
        <f>IFERROR(INDEX(院校信息总表!$AA$2:$AA$300,ROW()-1),"")</f>
        <v>0</v>
      </c>
      <c r="E47" s="5">
        <f>IFERROR(INDEX(院校信息总表!$B$2:$B$300,ROW()-1),"")</f>
        <v>0</v>
      </c>
      <c r="F47" s="5">
        <f>IFERROR(INDEX(院校信息总表!$C$2:$C$300,ROW()-1),"")</f>
        <v>0</v>
      </c>
      <c r="G47" s="5"/>
    </row>
    <row r="48" spans="1:7" ht="14.5">
      <c r="A48" s="5">
        <f>IFERROR(INDEX(院校信息总表!$AB$2:$AB$300,ROW()-1),"")</f>
        <v>0</v>
      </c>
      <c r="B48" s="5">
        <f>IFERROR(INDEX(院校信息总表!$D$2:$D$300,ROW()-1),"")</f>
        <v>0</v>
      </c>
      <c r="C48" s="5">
        <f>IFERROR(INDEX(院校信息总表!$L$2:$L$300,ROW()-1),"")</f>
        <v>0</v>
      </c>
      <c r="D48" s="5">
        <f>IFERROR(INDEX(院校信息总表!$AA$2:$AA$300,ROW()-1),"")</f>
        <v>0</v>
      </c>
      <c r="E48" s="5">
        <f>IFERROR(INDEX(院校信息总表!$B$2:$B$300,ROW()-1),"")</f>
        <v>0</v>
      </c>
      <c r="F48" s="5">
        <f>IFERROR(INDEX(院校信息总表!$C$2:$C$300,ROW()-1),"")</f>
        <v>0</v>
      </c>
      <c r="G48" s="5"/>
    </row>
    <row r="49" spans="1:7" ht="14.5">
      <c r="A49" s="5">
        <f>IFERROR(INDEX(院校信息总表!$AB$2:$AB$300,ROW()-1),"")</f>
        <v>0</v>
      </c>
      <c r="B49" s="5">
        <f>IFERROR(INDEX(院校信息总表!$D$2:$D$300,ROW()-1),"")</f>
        <v>0</v>
      </c>
      <c r="C49" s="5">
        <f>IFERROR(INDEX(院校信息总表!$L$2:$L$300,ROW()-1),"")</f>
        <v>0</v>
      </c>
      <c r="D49" s="5">
        <f>IFERROR(INDEX(院校信息总表!$AA$2:$AA$300,ROW()-1),"")</f>
        <v>0</v>
      </c>
      <c r="E49" s="5">
        <f>IFERROR(INDEX(院校信息总表!$B$2:$B$300,ROW()-1),"")</f>
        <v>0</v>
      </c>
      <c r="F49" s="5">
        <f>IFERROR(INDEX(院校信息总表!$C$2:$C$300,ROW()-1),"")</f>
        <v>0</v>
      </c>
      <c r="G49" s="5"/>
    </row>
    <row r="50" spans="1:7" ht="14.5">
      <c r="A50" s="5">
        <f>IFERROR(INDEX(院校信息总表!$AB$2:$AB$300,ROW()-1),"")</f>
        <v>0</v>
      </c>
      <c r="B50" s="5">
        <f>IFERROR(INDEX(院校信息总表!$D$2:$D$300,ROW()-1),"")</f>
        <v>0</v>
      </c>
      <c r="C50" s="5">
        <f>IFERROR(INDEX(院校信息总表!$L$2:$L$300,ROW()-1),"")</f>
        <v>0</v>
      </c>
      <c r="D50" s="5">
        <f>IFERROR(INDEX(院校信息总表!$AA$2:$AA$300,ROW()-1),"")</f>
        <v>0</v>
      </c>
      <c r="E50" s="5">
        <f>IFERROR(INDEX(院校信息总表!$B$2:$B$300,ROW()-1),"")</f>
        <v>0</v>
      </c>
      <c r="F50" s="5">
        <f>IFERROR(INDEX(院校信息总表!$C$2:$C$300,ROW()-1),"")</f>
        <v>0</v>
      </c>
      <c r="G50" s="5"/>
    </row>
    <row r="51" spans="1:7" ht="14.5">
      <c r="A51" s="5">
        <f>IFERROR(INDEX(院校信息总表!$AB$2:$AB$300,ROW()-1),"")</f>
        <v>0</v>
      </c>
      <c r="B51" s="5">
        <f>IFERROR(INDEX(院校信息总表!$D$2:$D$300,ROW()-1),"")</f>
        <v>0</v>
      </c>
      <c r="C51" s="5">
        <f>IFERROR(INDEX(院校信息总表!$L$2:$L$300,ROW()-1),"")</f>
        <v>0</v>
      </c>
      <c r="D51" s="5">
        <f>IFERROR(INDEX(院校信息总表!$AA$2:$AA$300,ROW()-1),"")</f>
        <v>0</v>
      </c>
      <c r="E51" s="5">
        <f>IFERROR(INDEX(院校信息总表!$B$2:$B$300,ROW()-1),"")</f>
        <v>0</v>
      </c>
      <c r="F51" s="5">
        <f>IFERROR(INDEX(院校信息总表!$C$2:$C$300,ROW()-1),"")</f>
        <v>0</v>
      </c>
      <c r="G51" s="5"/>
    </row>
    <row r="52" spans="1:7" ht="14.5">
      <c r="A52" s="5">
        <f>IFERROR(INDEX(院校信息总表!$AB$2:$AB$300,ROW()-1),"")</f>
        <v>0</v>
      </c>
      <c r="B52" s="5">
        <f>IFERROR(INDEX(院校信息总表!$D$2:$D$300,ROW()-1),"")</f>
        <v>0</v>
      </c>
      <c r="C52" s="5">
        <f>IFERROR(INDEX(院校信息总表!$L$2:$L$300,ROW()-1),"")</f>
        <v>0</v>
      </c>
      <c r="D52" s="5">
        <f>IFERROR(INDEX(院校信息总表!$AA$2:$AA$300,ROW()-1),"")</f>
        <v>0</v>
      </c>
      <c r="E52" s="5">
        <f>IFERROR(INDEX(院校信息总表!$B$2:$B$300,ROW()-1),"")</f>
        <v>0</v>
      </c>
      <c r="F52" s="5">
        <f>IFERROR(INDEX(院校信息总表!$C$2:$C$300,ROW()-1),"")</f>
        <v>0</v>
      </c>
      <c r="G52" s="5"/>
    </row>
    <row r="53" spans="1:7" ht="14.5">
      <c r="A53" s="5">
        <f>IFERROR(INDEX(院校信息总表!$AB$2:$AB$300,ROW()-1),"")</f>
        <v>0</v>
      </c>
      <c r="B53" s="5">
        <f>IFERROR(INDEX(院校信息总表!$D$2:$D$300,ROW()-1),"")</f>
        <v>0</v>
      </c>
      <c r="C53" s="5">
        <f>IFERROR(INDEX(院校信息总表!$L$2:$L$300,ROW()-1),"")</f>
        <v>0</v>
      </c>
      <c r="D53" s="5">
        <f>IFERROR(INDEX(院校信息总表!$AA$2:$AA$300,ROW()-1),"")</f>
        <v>0</v>
      </c>
      <c r="E53" s="5">
        <f>IFERROR(INDEX(院校信息总表!$B$2:$B$300,ROW()-1),"")</f>
        <v>0</v>
      </c>
      <c r="F53" s="5">
        <f>IFERROR(INDEX(院校信息总表!$C$2:$C$300,ROW()-1),"")</f>
        <v>0</v>
      </c>
      <c r="G53" s="5"/>
    </row>
    <row r="54" spans="1:7" ht="14.5">
      <c r="A54" s="5">
        <f>IFERROR(INDEX(院校信息总表!$AB$2:$AB$300,ROW()-1),"")</f>
        <v>0</v>
      </c>
      <c r="B54" s="5">
        <f>IFERROR(INDEX(院校信息总表!$D$2:$D$300,ROW()-1),"")</f>
        <v>0</v>
      </c>
      <c r="C54" s="5">
        <f>IFERROR(INDEX(院校信息总表!$L$2:$L$300,ROW()-1),"")</f>
        <v>0</v>
      </c>
      <c r="D54" s="5">
        <f>IFERROR(INDEX(院校信息总表!$AA$2:$AA$300,ROW()-1),"")</f>
        <v>0</v>
      </c>
      <c r="E54" s="5">
        <f>IFERROR(INDEX(院校信息总表!$B$2:$B$300,ROW()-1),"")</f>
        <v>0</v>
      </c>
      <c r="F54" s="5">
        <f>IFERROR(INDEX(院校信息总表!$C$2:$C$300,ROW()-1),"")</f>
        <v>0</v>
      </c>
      <c r="G54" s="5"/>
    </row>
    <row r="55" spans="1:7" ht="14.5">
      <c r="A55" s="5">
        <f>IFERROR(INDEX(院校信息总表!$AB$2:$AB$300,ROW()-1),"")</f>
        <v>0</v>
      </c>
      <c r="B55" s="5">
        <f>IFERROR(INDEX(院校信息总表!$D$2:$D$300,ROW()-1),"")</f>
        <v>0</v>
      </c>
      <c r="C55" s="5">
        <f>IFERROR(INDEX(院校信息总表!$L$2:$L$300,ROW()-1),"")</f>
        <v>0</v>
      </c>
      <c r="D55" s="5">
        <f>IFERROR(INDEX(院校信息总表!$AA$2:$AA$300,ROW()-1),"")</f>
        <v>0</v>
      </c>
      <c r="E55" s="5">
        <f>IFERROR(INDEX(院校信息总表!$B$2:$B$300,ROW()-1),"")</f>
        <v>0</v>
      </c>
      <c r="F55" s="5">
        <f>IFERROR(INDEX(院校信息总表!$C$2:$C$300,ROW()-1),"")</f>
        <v>0</v>
      </c>
      <c r="G55" s="5"/>
    </row>
    <row r="56" spans="1:7" ht="14.5">
      <c r="A56" s="5">
        <f>IFERROR(INDEX(院校信息总表!$AB$2:$AB$300,ROW()-1),"")</f>
        <v>0</v>
      </c>
      <c r="B56" s="5">
        <f>IFERROR(INDEX(院校信息总表!$D$2:$D$300,ROW()-1),"")</f>
        <v>0</v>
      </c>
      <c r="C56" s="5">
        <f>IFERROR(INDEX(院校信息总表!$L$2:$L$300,ROW()-1),"")</f>
        <v>0</v>
      </c>
      <c r="D56" s="5">
        <f>IFERROR(INDEX(院校信息总表!$AA$2:$AA$300,ROW()-1),"")</f>
        <v>0</v>
      </c>
      <c r="E56" s="5">
        <f>IFERROR(INDEX(院校信息总表!$B$2:$B$300,ROW()-1),"")</f>
        <v>0</v>
      </c>
      <c r="F56" s="5">
        <f>IFERROR(INDEX(院校信息总表!$C$2:$C$300,ROW()-1),"")</f>
        <v>0</v>
      </c>
      <c r="G56" s="5"/>
    </row>
    <row r="57" spans="1:7" ht="14.5">
      <c r="A57" s="5">
        <f>IFERROR(INDEX(院校信息总表!$AB$2:$AB$300,ROW()-1),"")</f>
        <v>0</v>
      </c>
      <c r="B57" s="5">
        <f>IFERROR(INDEX(院校信息总表!$D$2:$D$300,ROW()-1),"")</f>
        <v>0</v>
      </c>
      <c r="C57" s="5">
        <f>IFERROR(INDEX(院校信息总表!$L$2:$L$300,ROW()-1),"")</f>
        <v>0</v>
      </c>
      <c r="D57" s="5">
        <f>IFERROR(INDEX(院校信息总表!$AA$2:$AA$300,ROW()-1),"")</f>
        <v>0</v>
      </c>
      <c r="E57" s="5">
        <f>IFERROR(INDEX(院校信息总表!$B$2:$B$300,ROW()-1),"")</f>
        <v>0</v>
      </c>
      <c r="F57" s="5">
        <f>IFERROR(INDEX(院校信息总表!$C$2:$C$300,ROW()-1),"")</f>
        <v>0</v>
      </c>
      <c r="G57" s="5"/>
    </row>
    <row r="58" spans="1:7" ht="14.5">
      <c r="A58" s="5">
        <f>IFERROR(INDEX(院校信息总表!$AB$2:$AB$300,ROW()-1),"")</f>
        <v>0</v>
      </c>
      <c r="B58" s="5">
        <f>IFERROR(INDEX(院校信息总表!$D$2:$D$300,ROW()-1),"")</f>
        <v>0</v>
      </c>
      <c r="C58" s="5">
        <f>IFERROR(INDEX(院校信息总表!$L$2:$L$300,ROW()-1),"")</f>
        <v>0</v>
      </c>
      <c r="D58" s="5">
        <f>IFERROR(INDEX(院校信息总表!$AA$2:$AA$300,ROW()-1),"")</f>
        <v>0</v>
      </c>
      <c r="E58" s="5">
        <f>IFERROR(INDEX(院校信息总表!$B$2:$B$300,ROW()-1),"")</f>
        <v>0</v>
      </c>
      <c r="F58" s="5">
        <f>IFERROR(INDEX(院校信息总表!$C$2:$C$300,ROW()-1),"")</f>
        <v>0</v>
      </c>
      <c r="G58" s="5"/>
    </row>
    <row r="59" spans="1:7" ht="14.5">
      <c r="A59" s="5">
        <f>IFERROR(INDEX(院校信息总表!$AB$2:$AB$300,ROW()-1),"")</f>
        <v>0</v>
      </c>
      <c r="B59" s="5">
        <f>IFERROR(INDEX(院校信息总表!$D$2:$D$300,ROW()-1),"")</f>
        <v>0</v>
      </c>
      <c r="C59" s="5">
        <f>IFERROR(INDEX(院校信息总表!$L$2:$L$300,ROW()-1),"")</f>
        <v>0</v>
      </c>
      <c r="D59" s="5">
        <f>IFERROR(INDEX(院校信息总表!$AA$2:$AA$300,ROW()-1),"")</f>
        <v>0</v>
      </c>
      <c r="E59" s="5">
        <f>IFERROR(INDEX(院校信息总表!$B$2:$B$300,ROW()-1),"")</f>
        <v>0</v>
      </c>
      <c r="F59" s="5">
        <f>IFERROR(INDEX(院校信息总表!$C$2:$C$300,ROW()-1),"")</f>
        <v>0</v>
      </c>
      <c r="G59" s="5"/>
    </row>
    <row r="60" spans="1:7" ht="14.5">
      <c r="A60" s="5">
        <f>IFERROR(INDEX(院校信息总表!$AB$2:$AB$300,ROW()-1),"")</f>
        <v>0</v>
      </c>
      <c r="B60" s="5">
        <f>IFERROR(INDEX(院校信息总表!$D$2:$D$300,ROW()-1),"")</f>
        <v>0</v>
      </c>
      <c r="C60" s="5">
        <f>IFERROR(INDEX(院校信息总表!$L$2:$L$300,ROW()-1),"")</f>
        <v>0</v>
      </c>
      <c r="D60" s="5">
        <f>IFERROR(INDEX(院校信息总表!$AA$2:$AA$300,ROW()-1),"")</f>
        <v>0</v>
      </c>
      <c r="E60" s="5">
        <f>IFERROR(INDEX(院校信息总表!$B$2:$B$300,ROW()-1),"")</f>
        <v>0</v>
      </c>
      <c r="F60" s="5">
        <f>IFERROR(INDEX(院校信息总表!$C$2:$C$300,ROW()-1),"")</f>
        <v>0</v>
      </c>
      <c r="G60" s="5"/>
    </row>
    <row r="61" spans="1:7" ht="14.5">
      <c r="A61" s="5">
        <f>IFERROR(INDEX(院校信息总表!$AB$2:$AB$300,ROW()-1),"")</f>
        <v>0</v>
      </c>
      <c r="B61" s="5">
        <f>IFERROR(INDEX(院校信息总表!$D$2:$D$300,ROW()-1),"")</f>
        <v>0</v>
      </c>
      <c r="C61" s="5">
        <f>IFERROR(INDEX(院校信息总表!$L$2:$L$300,ROW()-1),"")</f>
        <v>0</v>
      </c>
      <c r="D61" s="5">
        <f>IFERROR(INDEX(院校信息总表!$AA$2:$AA$300,ROW()-1),"")</f>
        <v>0</v>
      </c>
      <c r="E61" s="5">
        <f>IFERROR(INDEX(院校信息总表!$B$2:$B$300,ROW()-1),"")</f>
        <v>0</v>
      </c>
      <c r="F61" s="5">
        <f>IFERROR(INDEX(院校信息总表!$C$2:$C$300,ROW()-1),"")</f>
        <v>0</v>
      </c>
      <c r="G61" s="5"/>
    </row>
    <row r="62" spans="1:7" ht="14.5">
      <c r="A62" s="5">
        <f>IFERROR(INDEX(院校信息总表!$AB$2:$AB$300,ROW()-1),"")</f>
        <v>0</v>
      </c>
      <c r="B62" s="5">
        <f>IFERROR(INDEX(院校信息总表!$D$2:$D$300,ROW()-1),"")</f>
        <v>0</v>
      </c>
      <c r="C62" s="5">
        <f>IFERROR(INDEX(院校信息总表!$L$2:$L$300,ROW()-1),"")</f>
        <v>0</v>
      </c>
      <c r="D62" s="5">
        <f>IFERROR(INDEX(院校信息总表!$AA$2:$AA$300,ROW()-1),"")</f>
        <v>0</v>
      </c>
      <c r="E62" s="5">
        <f>IFERROR(INDEX(院校信息总表!$B$2:$B$300,ROW()-1),"")</f>
        <v>0</v>
      </c>
      <c r="F62" s="5">
        <f>IFERROR(INDEX(院校信息总表!$C$2:$C$300,ROW()-1),"")</f>
        <v>0</v>
      </c>
      <c r="G62" s="5"/>
    </row>
    <row r="63" spans="1:7" ht="14.5">
      <c r="A63" s="5">
        <f>IFERROR(INDEX(院校信息总表!$AB$2:$AB$300,ROW()-1),"")</f>
        <v>0</v>
      </c>
      <c r="B63" s="5">
        <f>IFERROR(INDEX(院校信息总表!$D$2:$D$300,ROW()-1),"")</f>
        <v>0</v>
      </c>
      <c r="C63" s="5">
        <f>IFERROR(INDEX(院校信息总表!$L$2:$L$300,ROW()-1),"")</f>
        <v>0</v>
      </c>
      <c r="D63" s="5">
        <f>IFERROR(INDEX(院校信息总表!$AA$2:$AA$300,ROW()-1),"")</f>
        <v>0</v>
      </c>
      <c r="E63" s="5">
        <f>IFERROR(INDEX(院校信息总表!$B$2:$B$300,ROW()-1),"")</f>
        <v>0</v>
      </c>
      <c r="F63" s="5">
        <f>IFERROR(INDEX(院校信息总表!$C$2:$C$300,ROW()-1),"")</f>
        <v>0</v>
      </c>
      <c r="G63" s="5"/>
    </row>
    <row r="64" spans="1:7" ht="14.5">
      <c r="A64" s="5">
        <f>IFERROR(INDEX(院校信息总表!$AB$2:$AB$300,ROW()-1),"")</f>
        <v>0</v>
      </c>
      <c r="B64" s="5">
        <f>IFERROR(INDEX(院校信息总表!$D$2:$D$300,ROW()-1),"")</f>
        <v>0</v>
      </c>
      <c r="C64" s="5">
        <f>IFERROR(INDEX(院校信息总表!$L$2:$L$300,ROW()-1),"")</f>
        <v>0</v>
      </c>
      <c r="D64" s="5">
        <f>IFERROR(INDEX(院校信息总表!$AA$2:$AA$300,ROW()-1),"")</f>
        <v>0</v>
      </c>
      <c r="E64" s="5">
        <f>IFERROR(INDEX(院校信息总表!$B$2:$B$300,ROW()-1),"")</f>
        <v>0</v>
      </c>
      <c r="F64" s="5">
        <f>IFERROR(INDEX(院校信息总表!$C$2:$C$300,ROW()-1),"")</f>
        <v>0</v>
      </c>
      <c r="G64" s="5"/>
    </row>
    <row r="65" spans="1:7" ht="14.5">
      <c r="A65" s="5">
        <f>IFERROR(INDEX(院校信息总表!$AB$2:$AB$300,ROW()-1),"")</f>
        <v>0</v>
      </c>
      <c r="B65" s="5">
        <f>IFERROR(INDEX(院校信息总表!$D$2:$D$300,ROW()-1),"")</f>
        <v>0</v>
      </c>
      <c r="C65" s="5">
        <f>IFERROR(INDEX(院校信息总表!$L$2:$L$300,ROW()-1),"")</f>
        <v>0</v>
      </c>
      <c r="D65" s="5">
        <f>IFERROR(INDEX(院校信息总表!$AA$2:$AA$300,ROW()-1),"")</f>
        <v>0</v>
      </c>
      <c r="E65" s="5">
        <f>IFERROR(INDEX(院校信息总表!$B$2:$B$300,ROW()-1),"")</f>
        <v>0</v>
      </c>
      <c r="F65" s="5">
        <f>IFERROR(INDEX(院校信息总表!$C$2:$C$300,ROW()-1),"")</f>
        <v>0</v>
      </c>
      <c r="G65" s="5"/>
    </row>
    <row r="66" spans="1:7" ht="14.5">
      <c r="A66" s="5">
        <f>IFERROR(INDEX(院校信息总表!$AB$2:$AB$300,ROW()-1),"")</f>
        <v>0</v>
      </c>
      <c r="B66" s="5">
        <f>IFERROR(INDEX(院校信息总表!$D$2:$D$300,ROW()-1),"")</f>
        <v>0</v>
      </c>
      <c r="C66" s="5">
        <f>IFERROR(INDEX(院校信息总表!$L$2:$L$300,ROW()-1),"")</f>
        <v>0</v>
      </c>
      <c r="D66" s="5">
        <f>IFERROR(INDEX(院校信息总表!$AA$2:$AA$300,ROW()-1),"")</f>
        <v>0</v>
      </c>
      <c r="E66" s="5">
        <f>IFERROR(INDEX(院校信息总表!$B$2:$B$300,ROW()-1),"")</f>
        <v>0</v>
      </c>
      <c r="F66" s="5">
        <f>IFERROR(INDEX(院校信息总表!$C$2:$C$300,ROW()-1),"")</f>
        <v>0</v>
      </c>
      <c r="G66" s="5"/>
    </row>
    <row r="67" spans="1:7" ht="14.5">
      <c r="A67" s="5">
        <f>IFERROR(INDEX(院校信息总表!$AB$2:$AB$300,ROW()-1),"")</f>
        <v>0</v>
      </c>
      <c r="B67" s="5">
        <f>IFERROR(INDEX(院校信息总表!$D$2:$D$300,ROW()-1),"")</f>
        <v>0</v>
      </c>
      <c r="C67" s="5">
        <f>IFERROR(INDEX(院校信息总表!$L$2:$L$300,ROW()-1),"")</f>
        <v>0</v>
      </c>
      <c r="D67" s="5">
        <f>IFERROR(INDEX(院校信息总表!$AA$2:$AA$300,ROW()-1),"")</f>
        <v>0</v>
      </c>
      <c r="E67" s="5">
        <f>IFERROR(INDEX(院校信息总表!$B$2:$B$300,ROW()-1),"")</f>
        <v>0</v>
      </c>
      <c r="F67" s="5">
        <f>IFERROR(INDEX(院校信息总表!$C$2:$C$300,ROW()-1),"")</f>
        <v>0</v>
      </c>
      <c r="G67" s="5"/>
    </row>
    <row r="68" spans="1:7" ht="14.5">
      <c r="A68" s="5">
        <f>IFERROR(INDEX(院校信息总表!$AB$2:$AB$300,ROW()-1),"")</f>
        <v>0</v>
      </c>
      <c r="B68" s="5">
        <f>IFERROR(INDEX(院校信息总表!$D$2:$D$300,ROW()-1),"")</f>
        <v>0</v>
      </c>
      <c r="C68" s="5">
        <f>IFERROR(INDEX(院校信息总表!$L$2:$L$300,ROW()-1),"")</f>
        <v>0</v>
      </c>
      <c r="D68" s="5">
        <f>IFERROR(INDEX(院校信息总表!$AA$2:$AA$300,ROW()-1),"")</f>
        <v>0</v>
      </c>
      <c r="E68" s="5">
        <f>IFERROR(INDEX(院校信息总表!$B$2:$B$300,ROW()-1),"")</f>
        <v>0</v>
      </c>
      <c r="F68" s="5">
        <f>IFERROR(INDEX(院校信息总表!$C$2:$C$300,ROW()-1),"")</f>
        <v>0</v>
      </c>
      <c r="G68" s="5"/>
    </row>
    <row r="69" spans="1:7" ht="14.5">
      <c r="A69" s="5">
        <f>IFERROR(INDEX(院校信息总表!$AB$2:$AB$300,ROW()-1),"")</f>
        <v>0</v>
      </c>
      <c r="B69" s="5">
        <f>IFERROR(INDEX(院校信息总表!$D$2:$D$300,ROW()-1),"")</f>
        <v>0</v>
      </c>
      <c r="C69" s="5">
        <f>IFERROR(INDEX(院校信息总表!$L$2:$L$300,ROW()-1),"")</f>
        <v>0</v>
      </c>
      <c r="D69" s="5">
        <f>IFERROR(INDEX(院校信息总表!$AA$2:$AA$300,ROW()-1),"")</f>
        <v>0</v>
      </c>
      <c r="E69" s="5">
        <f>IFERROR(INDEX(院校信息总表!$B$2:$B$300,ROW()-1),"")</f>
        <v>0</v>
      </c>
      <c r="F69" s="5">
        <f>IFERROR(INDEX(院校信息总表!$C$2:$C$300,ROW()-1),"")</f>
        <v>0</v>
      </c>
      <c r="G69" s="5"/>
    </row>
    <row r="70" spans="1:7" ht="14.5">
      <c r="A70" s="5">
        <f>IFERROR(INDEX(院校信息总表!$AB$2:$AB$300,ROW()-1),"")</f>
        <v>0</v>
      </c>
      <c r="B70" s="5">
        <f>IFERROR(INDEX(院校信息总表!$D$2:$D$300,ROW()-1),"")</f>
        <v>0</v>
      </c>
      <c r="C70" s="5">
        <f>IFERROR(INDEX(院校信息总表!$L$2:$L$300,ROW()-1),"")</f>
        <v>0</v>
      </c>
      <c r="D70" s="5">
        <f>IFERROR(INDEX(院校信息总表!$AA$2:$AA$300,ROW()-1),"")</f>
        <v>0</v>
      </c>
      <c r="E70" s="5">
        <f>IFERROR(INDEX(院校信息总表!$B$2:$B$300,ROW()-1),"")</f>
        <v>0</v>
      </c>
      <c r="F70" s="5">
        <f>IFERROR(INDEX(院校信息总表!$C$2:$C$300,ROW()-1),"")</f>
        <v>0</v>
      </c>
      <c r="G70" s="5"/>
    </row>
    <row r="71" spans="1:7" ht="14.5">
      <c r="A71" s="5">
        <f>IFERROR(INDEX(院校信息总表!$AB$2:$AB$300,ROW()-1),"")</f>
        <v>0</v>
      </c>
      <c r="B71" s="5">
        <f>IFERROR(INDEX(院校信息总表!$D$2:$D$300,ROW()-1),"")</f>
        <v>0</v>
      </c>
      <c r="C71" s="5">
        <f>IFERROR(INDEX(院校信息总表!$L$2:$L$300,ROW()-1),"")</f>
        <v>0</v>
      </c>
      <c r="D71" s="5">
        <f>IFERROR(INDEX(院校信息总表!$AA$2:$AA$300,ROW()-1),"")</f>
        <v>0</v>
      </c>
      <c r="E71" s="5">
        <f>IFERROR(INDEX(院校信息总表!$B$2:$B$300,ROW()-1),"")</f>
        <v>0</v>
      </c>
      <c r="F71" s="5">
        <f>IFERROR(INDEX(院校信息总表!$C$2:$C$300,ROW()-1),"")</f>
        <v>0</v>
      </c>
      <c r="G71" s="5"/>
    </row>
    <row r="72" spans="1:7" ht="14.5">
      <c r="A72" s="5">
        <f>IFERROR(INDEX(院校信息总表!$AB$2:$AB$300,ROW()-1),"")</f>
        <v>0</v>
      </c>
      <c r="B72" s="5">
        <f>IFERROR(INDEX(院校信息总表!$D$2:$D$300,ROW()-1),"")</f>
        <v>0</v>
      </c>
      <c r="C72" s="5">
        <f>IFERROR(INDEX(院校信息总表!$L$2:$L$300,ROW()-1),"")</f>
        <v>0</v>
      </c>
      <c r="D72" s="5">
        <f>IFERROR(INDEX(院校信息总表!$AA$2:$AA$300,ROW()-1),"")</f>
        <v>0</v>
      </c>
      <c r="E72" s="5">
        <f>IFERROR(INDEX(院校信息总表!$B$2:$B$300,ROW()-1),"")</f>
        <v>0</v>
      </c>
      <c r="F72" s="5">
        <f>IFERROR(INDEX(院校信息总表!$C$2:$C$300,ROW()-1),"")</f>
        <v>0</v>
      </c>
      <c r="G72" s="5"/>
    </row>
    <row r="73" spans="1:7" ht="14.5">
      <c r="A73" s="5">
        <f>IFERROR(INDEX(院校信息总表!$AB$2:$AB$300,ROW()-1),"")</f>
        <v>0</v>
      </c>
      <c r="B73" s="5">
        <f>IFERROR(INDEX(院校信息总表!$D$2:$D$300,ROW()-1),"")</f>
        <v>0</v>
      </c>
      <c r="C73" s="5">
        <f>IFERROR(INDEX(院校信息总表!$L$2:$L$300,ROW()-1),"")</f>
        <v>0</v>
      </c>
      <c r="D73" s="5">
        <f>IFERROR(INDEX(院校信息总表!$AA$2:$AA$300,ROW()-1),"")</f>
        <v>0</v>
      </c>
      <c r="E73" s="5">
        <f>IFERROR(INDEX(院校信息总表!$B$2:$B$300,ROW()-1),"")</f>
        <v>0</v>
      </c>
      <c r="F73" s="5">
        <f>IFERROR(INDEX(院校信息总表!$C$2:$C$300,ROW()-1),"")</f>
        <v>0</v>
      </c>
      <c r="G73" s="5"/>
    </row>
    <row r="74" spans="1:7" ht="14.5">
      <c r="A74" s="5">
        <f>IFERROR(INDEX(院校信息总表!$AB$2:$AB$300,ROW()-1),"")</f>
        <v>0</v>
      </c>
      <c r="B74" s="5">
        <f>IFERROR(INDEX(院校信息总表!$D$2:$D$300,ROW()-1),"")</f>
        <v>0</v>
      </c>
      <c r="C74" s="5">
        <f>IFERROR(INDEX(院校信息总表!$L$2:$L$300,ROW()-1),"")</f>
        <v>0</v>
      </c>
      <c r="D74" s="5">
        <f>IFERROR(INDEX(院校信息总表!$AA$2:$AA$300,ROW()-1),"")</f>
        <v>0</v>
      </c>
      <c r="E74" s="5">
        <f>IFERROR(INDEX(院校信息总表!$B$2:$B$300,ROW()-1),"")</f>
        <v>0</v>
      </c>
      <c r="F74" s="5">
        <f>IFERROR(INDEX(院校信息总表!$C$2:$C$300,ROW()-1),"")</f>
        <v>0</v>
      </c>
      <c r="G74" s="5"/>
    </row>
    <row r="75" spans="1:7" ht="14.5">
      <c r="A75" s="5">
        <f>IFERROR(INDEX(院校信息总表!$AB$2:$AB$300,ROW()-1),"")</f>
        <v>0</v>
      </c>
      <c r="B75" s="5">
        <f>IFERROR(INDEX(院校信息总表!$D$2:$D$300,ROW()-1),"")</f>
        <v>0</v>
      </c>
      <c r="C75" s="5">
        <f>IFERROR(INDEX(院校信息总表!$L$2:$L$300,ROW()-1),"")</f>
        <v>0</v>
      </c>
      <c r="D75" s="5">
        <f>IFERROR(INDEX(院校信息总表!$AA$2:$AA$300,ROW()-1),"")</f>
        <v>0</v>
      </c>
      <c r="E75" s="5">
        <f>IFERROR(INDEX(院校信息总表!$B$2:$B$300,ROW()-1),"")</f>
        <v>0</v>
      </c>
      <c r="F75" s="5">
        <f>IFERROR(INDEX(院校信息总表!$C$2:$C$300,ROW()-1),"")</f>
        <v>0</v>
      </c>
      <c r="G75" s="5"/>
    </row>
    <row r="76" spans="1:7" ht="14.5">
      <c r="A76" s="5">
        <f>IFERROR(INDEX(院校信息总表!$AB$2:$AB$300,ROW()-1),"")</f>
        <v>0</v>
      </c>
      <c r="B76" s="5">
        <f>IFERROR(INDEX(院校信息总表!$D$2:$D$300,ROW()-1),"")</f>
        <v>0</v>
      </c>
      <c r="C76" s="5">
        <f>IFERROR(INDEX(院校信息总表!$L$2:$L$300,ROW()-1),"")</f>
        <v>0</v>
      </c>
      <c r="D76" s="5">
        <f>IFERROR(INDEX(院校信息总表!$AA$2:$AA$300,ROW()-1),"")</f>
        <v>0</v>
      </c>
      <c r="E76" s="5">
        <f>IFERROR(INDEX(院校信息总表!$B$2:$B$300,ROW()-1),"")</f>
        <v>0</v>
      </c>
      <c r="F76" s="5">
        <f>IFERROR(INDEX(院校信息总表!$C$2:$C$300,ROW()-1),"")</f>
        <v>0</v>
      </c>
      <c r="G76" s="5"/>
    </row>
    <row r="77" spans="1:7" ht="14.5">
      <c r="A77" s="5">
        <f>IFERROR(INDEX(院校信息总表!$AB$2:$AB$300,ROW()-1),"")</f>
        <v>0</v>
      </c>
      <c r="B77" s="5">
        <f>IFERROR(INDEX(院校信息总表!$D$2:$D$300,ROW()-1),"")</f>
        <v>0</v>
      </c>
      <c r="C77" s="5">
        <f>IFERROR(INDEX(院校信息总表!$L$2:$L$300,ROW()-1),"")</f>
        <v>0</v>
      </c>
      <c r="D77" s="5">
        <f>IFERROR(INDEX(院校信息总表!$AA$2:$AA$300,ROW()-1),"")</f>
        <v>0</v>
      </c>
      <c r="E77" s="5">
        <f>IFERROR(INDEX(院校信息总表!$B$2:$B$300,ROW()-1),"")</f>
        <v>0</v>
      </c>
      <c r="F77" s="5">
        <f>IFERROR(INDEX(院校信息总表!$C$2:$C$300,ROW()-1),"")</f>
        <v>0</v>
      </c>
      <c r="G77" s="5"/>
    </row>
    <row r="78" spans="1:7" ht="14.5">
      <c r="A78" s="5">
        <f>IFERROR(INDEX(院校信息总表!$AB$2:$AB$300,ROW()-1),"")</f>
        <v>0</v>
      </c>
      <c r="B78" s="5">
        <f>IFERROR(INDEX(院校信息总表!$D$2:$D$300,ROW()-1),"")</f>
        <v>0</v>
      </c>
      <c r="C78" s="5">
        <f>IFERROR(INDEX(院校信息总表!$L$2:$L$300,ROW()-1),"")</f>
        <v>0</v>
      </c>
      <c r="D78" s="5">
        <f>IFERROR(INDEX(院校信息总表!$AA$2:$AA$300,ROW()-1),"")</f>
        <v>0</v>
      </c>
      <c r="E78" s="5">
        <f>IFERROR(INDEX(院校信息总表!$B$2:$B$300,ROW()-1),"")</f>
        <v>0</v>
      </c>
      <c r="F78" s="5">
        <f>IFERROR(INDEX(院校信息总表!$C$2:$C$300,ROW()-1),"")</f>
        <v>0</v>
      </c>
      <c r="G78" s="5"/>
    </row>
    <row r="79" spans="1:7" ht="14.5">
      <c r="A79" s="5">
        <f>IFERROR(INDEX(院校信息总表!$AB$2:$AB$300,ROW()-1),"")</f>
        <v>0</v>
      </c>
      <c r="B79" s="5">
        <f>IFERROR(INDEX(院校信息总表!$D$2:$D$300,ROW()-1),"")</f>
        <v>0</v>
      </c>
      <c r="C79" s="5">
        <f>IFERROR(INDEX(院校信息总表!$L$2:$L$300,ROW()-1),"")</f>
        <v>0</v>
      </c>
      <c r="D79" s="5">
        <f>IFERROR(INDEX(院校信息总表!$AA$2:$AA$300,ROW()-1),"")</f>
        <v>0</v>
      </c>
      <c r="E79" s="5">
        <f>IFERROR(INDEX(院校信息总表!$B$2:$B$300,ROW()-1),"")</f>
        <v>0</v>
      </c>
      <c r="F79" s="5">
        <f>IFERROR(INDEX(院校信息总表!$C$2:$C$300,ROW()-1),"")</f>
        <v>0</v>
      </c>
      <c r="G79" s="5"/>
    </row>
    <row r="80" spans="1:7" ht="14.5">
      <c r="A80" s="5">
        <f>IFERROR(INDEX(院校信息总表!$AB$2:$AB$300,ROW()-1),"")</f>
        <v>0</v>
      </c>
      <c r="B80" s="5">
        <f>IFERROR(INDEX(院校信息总表!$D$2:$D$300,ROW()-1),"")</f>
        <v>0</v>
      </c>
      <c r="C80" s="5">
        <f>IFERROR(INDEX(院校信息总表!$L$2:$L$300,ROW()-1),"")</f>
        <v>0</v>
      </c>
      <c r="D80" s="5">
        <f>IFERROR(INDEX(院校信息总表!$AA$2:$AA$300,ROW()-1),"")</f>
        <v>0</v>
      </c>
      <c r="E80" s="5">
        <f>IFERROR(INDEX(院校信息总表!$B$2:$B$300,ROW()-1),"")</f>
        <v>0</v>
      </c>
      <c r="F80" s="5">
        <f>IFERROR(INDEX(院校信息总表!$C$2:$C$300,ROW()-1),"")</f>
        <v>0</v>
      </c>
      <c r="G80" s="5"/>
    </row>
    <row r="81" spans="1:7" ht="14.5">
      <c r="A81" s="5">
        <f>IFERROR(INDEX(院校信息总表!$AB$2:$AB$300,ROW()-1),"")</f>
        <v>0</v>
      </c>
      <c r="B81" s="5">
        <f>IFERROR(INDEX(院校信息总表!$D$2:$D$300,ROW()-1),"")</f>
        <v>0</v>
      </c>
      <c r="C81" s="5">
        <f>IFERROR(INDEX(院校信息总表!$L$2:$L$300,ROW()-1),"")</f>
        <v>0</v>
      </c>
      <c r="D81" s="5">
        <f>IFERROR(INDEX(院校信息总表!$AA$2:$AA$300,ROW()-1),"")</f>
        <v>0</v>
      </c>
      <c r="E81" s="5">
        <f>IFERROR(INDEX(院校信息总表!$B$2:$B$300,ROW()-1),"")</f>
        <v>0</v>
      </c>
      <c r="F81" s="5">
        <f>IFERROR(INDEX(院校信息总表!$C$2:$C$300,ROW()-1),"")</f>
        <v>0</v>
      </c>
      <c r="G81" s="5"/>
    </row>
    <row r="82" spans="1:7" ht="14.5">
      <c r="A82" s="5">
        <f>IFERROR(INDEX(院校信息总表!$AB$2:$AB$300,ROW()-1),"")</f>
        <v>0</v>
      </c>
      <c r="B82" s="5">
        <f>IFERROR(INDEX(院校信息总表!$D$2:$D$300,ROW()-1),"")</f>
        <v>0</v>
      </c>
      <c r="C82" s="5">
        <f>IFERROR(INDEX(院校信息总表!$L$2:$L$300,ROW()-1),"")</f>
        <v>0</v>
      </c>
      <c r="D82" s="5">
        <f>IFERROR(INDEX(院校信息总表!$AA$2:$AA$300,ROW()-1),"")</f>
        <v>0</v>
      </c>
      <c r="E82" s="5">
        <f>IFERROR(INDEX(院校信息总表!$B$2:$B$300,ROW()-1),"")</f>
        <v>0</v>
      </c>
      <c r="F82" s="5">
        <f>IFERROR(INDEX(院校信息总表!$C$2:$C$300,ROW()-1),"")</f>
        <v>0</v>
      </c>
      <c r="G82" s="5"/>
    </row>
    <row r="83" spans="1:7" ht="14.5">
      <c r="A83" s="5">
        <f>IFERROR(INDEX(院校信息总表!$AB$2:$AB$300,ROW()-1),"")</f>
        <v>0</v>
      </c>
      <c r="B83" s="5">
        <f>IFERROR(INDEX(院校信息总表!$D$2:$D$300,ROW()-1),"")</f>
        <v>0</v>
      </c>
      <c r="C83" s="5">
        <f>IFERROR(INDEX(院校信息总表!$L$2:$L$300,ROW()-1),"")</f>
        <v>0</v>
      </c>
      <c r="D83" s="5">
        <f>IFERROR(INDEX(院校信息总表!$AA$2:$AA$300,ROW()-1),"")</f>
        <v>0</v>
      </c>
      <c r="E83" s="5">
        <f>IFERROR(INDEX(院校信息总表!$B$2:$B$300,ROW()-1),"")</f>
        <v>0</v>
      </c>
      <c r="F83" s="5">
        <f>IFERROR(INDEX(院校信息总表!$C$2:$C$300,ROW()-1),"")</f>
        <v>0</v>
      </c>
      <c r="G83" s="5"/>
    </row>
    <row r="84" spans="1:7" ht="14.5">
      <c r="A84" s="5">
        <f>IFERROR(INDEX(院校信息总表!$AB$2:$AB$300,ROW()-1),"")</f>
        <v>0</v>
      </c>
      <c r="B84" s="5">
        <f>IFERROR(INDEX(院校信息总表!$D$2:$D$300,ROW()-1),"")</f>
        <v>0</v>
      </c>
      <c r="C84" s="5">
        <f>IFERROR(INDEX(院校信息总表!$L$2:$L$300,ROW()-1),"")</f>
        <v>0</v>
      </c>
      <c r="D84" s="5">
        <f>IFERROR(INDEX(院校信息总表!$AA$2:$AA$300,ROW()-1),"")</f>
        <v>0</v>
      </c>
      <c r="E84" s="5">
        <f>IFERROR(INDEX(院校信息总表!$B$2:$B$300,ROW()-1),"")</f>
        <v>0</v>
      </c>
      <c r="F84" s="5">
        <f>IFERROR(INDEX(院校信息总表!$C$2:$C$300,ROW()-1),"")</f>
        <v>0</v>
      </c>
      <c r="G84" s="5"/>
    </row>
    <row r="85" spans="1:7" ht="14.5">
      <c r="A85" s="5">
        <f>IFERROR(INDEX(院校信息总表!$AB$2:$AB$300,ROW()-1),"")</f>
        <v>0</v>
      </c>
      <c r="B85" s="5">
        <f>IFERROR(INDEX(院校信息总表!$D$2:$D$300,ROW()-1),"")</f>
        <v>0</v>
      </c>
      <c r="C85" s="5">
        <f>IFERROR(INDEX(院校信息总表!$L$2:$L$300,ROW()-1),"")</f>
        <v>0</v>
      </c>
      <c r="D85" s="5">
        <f>IFERROR(INDEX(院校信息总表!$AA$2:$AA$300,ROW()-1),"")</f>
        <v>0</v>
      </c>
      <c r="E85" s="5">
        <f>IFERROR(INDEX(院校信息总表!$B$2:$B$300,ROW()-1),"")</f>
        <v>0</v>
      </c>
      <c r="F85" s="5">
        <f>IFERROR(INDEX(院校信息总表!$C$2:$C$300,ROW()-1),"")</f>
        <v>0</v>
      </c>
      <c r="G85" s="5"/>
    </row>
    <row r="86" spans="1:7" ht="14.5">
      <c r="A86" s="5">
        <f>IFERROR(INDEX(院校信息总表!$AB$2:$AB$300,ROW()-1),"")</f>
        <v>0</v>
      </c>
      <c r="B86" s="5">
        <f>IFERROR(INDEX(院校信息总表!$D$2:$D$300,ROW()-1),"")</f>
        <v>0</v>
      </c>
      <c r="C86" s="5">
        <f>IFERROR(INDEX(院校信息总表!$L$2:$L$300,ROW()-1),"")</f>
        <v>0</v>
      </c>
      <c r="D86" s="5">
        <f>IFERROR(INDEX(院校信息总表!$AA$2:$AA$300,ROW()-1),"")</f>
        <v>0</v>
      </c>
      <c r="E86" s="5">
        <f>IFERROR(INDEX(院校信息总表!$B$2:$B$300,ROW()-1),"")</f>
        <v>0</v>
      </c>
      <c r="F86" s="5">
        <f>IFERROR(INDEX(院校信息总表!$C$2:$C$300,ROW()-1),"")</f>
        <v>0</v>
      </c>
      <c r="G86" s="5"/>
    </row>
    <row r="87" spans="1:7" ht="14.5">
      <c r="A87" s="5">
        <f>IFERROR(INDEX(院校信息总表!$AB$2:$AB$300,ROW()-1),"")</f>
        <v>0</v>
      </c>
      <c r="B87" s="5">
        <f>IFERROR(INDEX(院校信息总表!$D$2:$D$300,ROW()-1),"")</f>
        <v>0</v>
      </c>
      <c r="C87" s="5">
        <f>IFERROR(INDEX(院校信息总表!$L$2:$L$300,ROW()-1),"")</f>
        <v>0</v>
      </c>
      <c r="D87" s="5">
        <f>IFERROR(INDEX(院校信息总表!$AA$2:$AA$300,ROW()-1),"")</f>
        <v>0</v>
      </c>
      <c r="E87" s="5">
        <f>IFERROR(INDEX(院校信息总表!$B$2:$B$300,ROW()-1),"")</f>
        <v>0</v>
      </c>
      <c r="F87" s="5">
        <f>IFERROR(INDEX(院校信息总表!$C$2:$C$300,ROW()-1),"")</f>
        <v>0</v>
      </c>
      <c r="G87" s="5"/>
    </row>
    <row r="88" spans="1:7" ht="14.5">
      <c r="A88" s="5">
        <f>IFERROR(INDEX(院校信息总表!$AB$2:$AB$300,ROW()-1),"")</f>
        <v>0</v>
      </c>
      <c r="B88" s="5">
        <f>IFERROR(INDEX(院校信息总表!$D$2:$D$300,ROW()-1),"")</f>
        <v>0</v>
      </c>
      <c r="C88" s="5">
        <f>IFERROR(INDEX(院校信息总表!$L$2:$L$300,ROW()-1),"")</f>
        <v>0</v>
      </c>
      <c r="D88" s="5">
        <f>IFERROR(INDEX(院校信息总表!$AA$2:$AA$300,ROW()-1),"")</f>
        <v>0</v>
      </c>
      <c r="E88" s="5">
        <f>IFERROR(INDEX(院校信息总表!$B$2:$B$300,ROW()-1),"")</f>
        <v>0</v>
      </c>
      <c r="F88" s="5">
        <f>IFERROR(INDEX(院校信息总表!$C$2:$C$300,ROW()-1),"")</f>
        <v>0</v>
      </c>
      <c r="G88" s="5"/>
    </row>
    <row r="89" spans="1:7" ht="14.5">
      <c r="A89" s="5">
        <f>IFERROR(INDEX(院校信息总表!$AB$2:$AB$300,ROW()-1),"")</f>
        <v>0</v>
      </c>
      <c r="B89" s="5">
        <f>IFERROR(INDEX(院校信息总表!$D$2:$D$300,ROW()-1),"")</f>
        <v>0</v>
      </c>
      <c r="C89" s="5">
        <f>IFERROR(INDEX(院校信息总表!$L$2:$L$300,ROW()-1),"")</f>
        <v>0</v>
      </c>
      <c r="D89" s="5">
        <f>IFERROR(INDEX(院校信息总表!$AA$2:$AA$300,ROW()-1),"")</f>
        <v>0</v>
      </c>
      <c r="E89" s="5">
        <f>IFERROR(INDEX(院校信息总表!$B$2:$B$300,ROW()-1),"")</f>
        <v>0</v>
      </c>
      <c r="F89" s="5">
        <f>IFERROR(INDEX(院校信息总表!$C$2:$C$300,ROW()-1),"")</f>
        <v>0</v>
      </c>
      <c r="G89" s="5"/>
    </row>
    <row r="90" spans="1:7" ht="14.5">
      <c r="A90" s="5">
        <f>IFERROR(INDEX(院校信息总表!$AB$2:$AB$300,ROW()-1),"")</f>
        <v>0</v>
      </c>
      <c r="B90" s="5">
        <f>IFERROR(INDEX(院校信息总表!$D$2:$D$300,ROW()-1),"")</f>
        <v>0</v>
      </c>
      <c r="C90" s="5">
        <f>IFERROR(INDEX(院校信息总表!$L$2:$L$300,ROW()-1),"")</f>
        <v>0</v>
      </c>
      <c r="D90" s="5">
        <f>IFERROR(INDEX(院校信息总表!$AA$2:$AA$300,ROW()-1),"")</f>
        <v>0</v>
      </c>
      <c r="E90" s="5">
        <f>IFERROR(INDEX(院校信息总表!$B$2:$B$300,ROW()-1),"")</f>
        <v>0</v>
      </c>
      <c r="F90" s="5">
        <f>IFERROR(INDEX(院校信息总表!$C$2:$C$300,ROW()-1),"")</f>
        <v>0</v>
      </c>
      <c r="G90" s="5"/>
    </row>
    <row r="91" spans="1:7" ht="14.5">
      <c r="A91" s="5">
        <f>IFERROR(INDEX(院校信息总表!$AB$2:$AB$300,ROW()-1),"")</f>
        <v>0</v>
      </c>
      <c r="B91" s="5">
        <f>IFERROR(INDEX(院校信息总表!$D$2:$D$300,ROW()-1),"")</f>
        <v>0</v>
      </c>
      <c r="C91" s="5">
        <f>IFERROR(INDEX(院校信息总表!$L$2:$L$300,ROW()-1),"")</f>
        <v>0</v>
      </c>
      <c r="D91" s="5">
        <f>IFERROR(INDEX(院校信息总表!$AA$2:$AA$300,ROW()-1),"")</f>
        <v>0</v>
      </c>
      <c r="E91" s="5">
        <f>IFERROR(INDEX(院校信息总表!$B$2:$B$300,ROW()-1),"")</f>
        <v>0</v>
      </c>
      <c r="F91" s="5">
        <f>IFERROR(INDEX(院校信息总表!$C$2:$C$300,ROW()-1),"")</f>
        <v>0</v>
      </c>
      <c r="G91" s="5"/>
    </row>
    <row r="92" spans="1:7" ht="14.5">
      <c r="A92" s="5">
        <f>IFERROR(INDEX(院校信息总表!$AB$2:$AB$300,ROW()-1),"")</f>
        <v>0</v>
      </c>
      <c r="B92" s="5">
        <f>IFERROR(INDEX(院校信息总表!$D$2:$D$300,ROW()-1),"")</f>
        <v>0</v>
      </c>
      <c r="C92" s="5">
        <f>IFERROR(INDEX(院校信息总表!$L$2:$L$300,ROW()-1),"")</f>
        <v>0</v>
      </c>
      <c r="D92" s="5">
        <f>IFERROR(INDEX(院校信息总表!$AA$2:$AA$300,ROW()-1),"")</f>
        <v>0</v>
      </c>
      <c r="E92" s="5">
        <f>IFERROR(INDEX(院校信息总表!$B$2:$B$300,ROW()-1),"")</f>
        <v>0</v>
      </c>
      <c r="F92" s="5">
        <f>IFERROR(INDEX(院校信息总表!$C$2:$C$300,ROW()-1),"")</f>
        <v>0</v>
      </c>
      <c r="G92" s="5"/>
    </row>
    <row r="93" spans="1:7" ht="14.5">
      <c r="A93" s="5">
        <f>IFERROR(INDEX(院校信息总表!$AB$2:$AB$300,ROW()-1),"")</f>
        <v>0</v>
      </c>
      <c r="B93" s="5">
        <f>IFERROR(INDEX(院校信息总表!$D$2:$D$300,ROW()-1),"")</f>
        <v>0</v>
      </c>
      <c r="C93" s="5">
        <f>IFERROR(INDEX(院校信息总表!$L$2:$L$300,ROW()-1),"")</f>
        <v>0</v>
      </c>
      <c r="D93" s="5">
        <f>IFERROR(INDEX(院校信息总表!$AA$2:$AA$300,ROW()-1),"")</f>
        <v>0</v>
      </c>
      <c r="E93" s="5">
        <f>IFERROR(INDEX(院校信息总表!$B$2:$B$300,ROW()-1),"")</f>
        <v>0</v>
      </c>
      <c r="F93" s="5">
        <f>IFERROR(INDEX(院校信息总表!$C$2:$C$300,ROW()-1),"")</f>
        <v>0</v>
      </c>
      <c r="G93" s="5"/>
    </row>
    <row r="94" spans="1:7" ht="14.5">
      <c r="A94" s="5">
        <f>IFERROR(INDEX(院校信息总表!$AB$2:$AB$300,ROW()-1),"")</f>
        <v>0</v>
      </c>
      <c r="B94" s="5">
        <f>IFERROR(INDEX(院校信息总表!$D$2:$D$300,ROW()-1),"")</f>
        <v>0</v>
      </c>
      <c r="C94" s="5">
        <f>IFERROR(INDEX(院校信息总表!$L$2:$L$300,ROW()-1),"")</f>
        <v>0</v>
      </c>
      <c r="D94" s="5">
        <f>IFERROR(INDEX(院校信息总表!$AA$2:$AA$300,ROW()-1),"")</f>
        <v>0</v>
      </c>
      <c r="E94" s="5">
        <f>IFERROR(INDEX(院校信息总表!$B$2:$B$300,ROW()-1),"")</f>
        <v>0</v>
      </c>
      <c r="F94" s="5">
        <f>IFERROR(INDEX(院校信息总表!$C$2:$C$300,ROW()-1),"")</f>
        <v>0</v>
      </c>
      <c r="G94" s="5"/>
    </row>
    <row r="95" spans="1:7" ht="14.5">
      <c r="A95" s="5">
        <f>IFERROR(INDEX(院校信息总表!$AB$2:$AB$300,ROW()-1),"")</f>
        <v>0</v>
      </c>
      <c r="B95" s="5">
        <f>IFERROR(INDEX(院校信息总表!$D$2:$D$300,ROW()-1),"")</f>
        <v>0</v>
      </c>
      <c r="C95" s="5">
        <f>IFERROR(INDEX(院校信息总表!$L$2:$L$300,ROW()-1),"")</f>
        <v>0</v>
      </c>
      <c r="D95" s="5">
        <f>IFERROR(INDEX(院校信息总表!$AA$2:$AA$300,ROW()-1),"")</f>
        <v>0</v>
      </c>
      <c r="E95" s="5">
        <f>IFERROR(INDEX(院校信息总表!$B$2:$B$300,ROW()-1),"")</f>
        <v>0</v>
      </c>
      <c r="F95" s="5">
        <f>IFERROR(INDEX(院校信息总表!$C$2:$C$300,ROW()-1),"")</f>
        <v>0</v>
      </c>
      <c r="G95" s="5"/>
    </row>
    <row r="96" spans="1:7" ht="14.5">
      <c r="A96" s="5">
        <f>IFERROR(INDEX(院校信息总表!$AB$2:$AB$300,ROW()-1),"")</f>
        <v>0</v>
      </c>
      <c r="B96" s="5">
        <f>IFERROR(INDEX(院校信息总表!$D$2:$D$300,ROW()-1),"")</f>
        <v>0</v>
      </c>
      <c r="C96" s="5">
        <f>IFERROR(INDEX(院校信息总表!$L$2:$L$300,ROW()-1),"")</f>
        <v>0</v>
      </c>
      <c r="D96" s="5">
        <f>IFERROR(INDEX(院校信息总表!$AA$2:$AA$300,ROW()-1),"")</f>
        <v>0</v>
      </c>
      <c r="E96" s="5">
        <f>IFERROR(INDEX(院校信息总表!$B$2:$B$300,ROW()-1),"")</f>
        <v>0</v>
      </c>
      <c r="F96" s="5">
        <f>IFERROR(INDEX(院校信息总表!$C$2:$C$300,ROW()-1),"")</f>
        <v>0</v>
      </c>
      <c r="G96" s="5"/>
    </row>
    <row r="97" spans="1:7" ht="14.5">
      <c r="A97" s="5">
        <f>IFERROR(INDEX(院校信息总表!$AB$2:$AB$300,ROW()-1),"")</f>
        <v>0</v>
      </c>
      <c r="B97" s="5">
        <f>IFERROR(INDEX(院校信息总表!$D$2:$D$300,ROW()-1),"")</f>
        <v>0</v>
      </c>
      <c r="C97" s="5">
        <f>IFERROR(INDEX(院校信息总表!$L$2:$L$300,ROW()-1),"")</f>
        <v>0</v>
      </c>
      <c r="D97" s="5">
        <f>IFERROR(INDEX(院校信息总表!$AA$2:$AA$300,ROW()-1),"")</f>
        <v>0</v>
      </c>
      <c r="E97" s="5">
        <f>IFERROR(INDEX(院校信息总表!$B$2:$B$300,ROW()-1),"")</f>
        <v>0</v>
      </c>
      <c r="F97" s="5">
        <f>IFERROR(INDEX(院校信息总表!$C$2:$C$300,ROW()-1),"")</f>
        <v>0</v>
      </c>
      <c r="G97" s="5"/>
    </row>
    <row r="98" spans="1:7" ht="14.5">
      <c r="A98" s="5">
        <f>IFERROR(INDEX(院校信息总表!$AB$2:$AB$300,ROW()-1),"")</f>
        <v>0</v>
      </c>
      <c r="B98" s="5">
        <f>IFERROR(INDEX(院校信息总表!$D$2:$D$300,ROW()-1),"")</f>
        <v>0</v>
      </c>
      <c r="C98" s="5">
        <f>IFERROR(INDEX(院校信息总表!$L$2:$L$300,ROW()-1),"")</f>
        <v>0</v>
      </c>
      <c r="D98" s="5">
        <f>IFERROR(INDEX(院校信息总表!$AA$2:$AA$300,ROW()-1),"")</f>
        <v>0</v>
      </c>
      <c r="E98" s="5">
        <f>IFERROR(INDEX(院校信息总表!$B$2:$B$300,ROW()-1),"")</f>
        <v>0</v>
      </c>
      <c r="F98" s="5">
        <f>IFERROR(INDEX(院校信息总表!$C$2:$C$300,ROW()-1),"")</f>
        <v>0</v>
      </c>
      <c r="G98" s="5"/>
    </row>
    <row r="99" spans="1:7" ht="14.5">
      <c r="A99" s="5">
        <f>IFERROR(INDEX(院校信息总表!$AB$2:$AB$300,ROW()-1),"")</f>
        <v>0</v>
      </c>
      <c r="B99" s="5">
        <f>IFERROR(INDEX(院校信息总表!$D$2:$D$300,ROW()-1),"")</f>
        <v>0</v>
      </c>
      <c r="C99" s="5">
        <f>IFERROR(INDEX(院校信息总表!$L$2:$L$300,ROW()-1),"")</f>
        <v>0</v>
      </c>
      <c r="D99" s="5">
        <f>IFERROR(INDEX(院校信息总表!$AA$2:$AA$300,ROW()-1),"")</f>
        <v>0</v>
      </c>
      <c r="E99" s="5">
        <f>IFERROR(INDEX(院校信息总表!$B$2:$B$300,ROW()-1),"")</f>
        <v>0</v>
      </c>
      <c r="F99" s="5">
        <f>IFERROR(INDEX(院校信息总表!$C$2:$C$300,ROW()-1),"")</f>
        <v>0</v>
      </c>
      <c r="G99" s="5"/>
    </row>
    <row r="100" spans="1:7" ht="14.5">
      <c r="A100" s="5">
        <f>IFERROR(INDEX(院校信息总表!$AB$2:$AB$300,ROW()-1),"")</f>
        <v>0</v>
      </c>
      <c r="B100" s="5">
        <f>IFERROR(INDEX(院校信息总表!$D$2:$D$300,ROW()-1),"")</f>
        <v>0</v>
      </c>
      <c r="C100" s="5">
        <f>IFERROR(INDEX(院校信息总表!$L$2:$L$300,ROW()-1),"")</f>
        <v>0</v>
      </c>
      <c r="D100" s="5">
        <f>IFERROR(INDEX(院校信息总表!$AA$2:$AA$300,ROW()-1),"")</f>
        <v>0</v>
      </c>
      <c r="E100" s="5">
        <f>IFERROR(INDEX(院校信息总表!$B$2:$B$300,ROW()-1),"")</f>
        <v>0</v>
      </c>
      <c r="F100" s="5">
        <f>IFERROR(INDEX(院校信息总表!$C$2:$C$300,ROW()-1),"")</f>
        <v>0</v>
      </c>
      <c r="G100" s="5"/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1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8" customWidth="1"/>
    <col min="2" max="9" width="14" customWidth="1"/>
  </cols>
  <sheetData>
    <row r="1" spans="1:9" ht="16.5">
      <c r="A1" s="4" t="s">
        <v>24</v>
      </c>
      <c r="B1" s="4" t="s">
        <v>131</v>
      </c>
      <c r="C1" s="4" t="s">
        <v>132</v>
      </c>
      <c r="D1" s="4" t="s">
        <v>133</v>
      </c>
      <c r="E1" s="4" t="s">
        <v>134</v>
      </c>
      <c r="F1" s="4" t="s">
        <v>135</v>
      </c>
      <c r="G1" s="4" t="s">
        <v>136</v>
      </c>
      <c r="H1" s="4" t="s">
        <v>137</v>
      </c>
      <c r="I1" s="4" t="s">
        <v>138</v>
      </c>
    </row>
    <row r="2" spans="1:9" ht="14.5">
      <c r="A2" s="9" t="str">
        <f>IFERROR(院校信息总表!D2,"")</f>
        <v>清华大学</v>
      </c>
      <c r="B2" s="9"/>
      <c r="C2" s="9"/>
      <c r="D2" s="9"/>
      <c r="E2" s="9"/>
      <c r="F2" s="9"/>
      <c r="G2" s="9"/>
      <c r="H2" s="9">
        <f t="shared" ref="H2:H33" si="0">IF(A2="","",SUM(B2:G2))</f>
        <v>0</v>
      </c>
      <c r="I2" s="9" t="str">
        <f t="shared" ref="I2:I33" si="1">IF(H2="","",IF(H2&gt;=50,"重点申请",IF(H2&gt;=40,"稳妥申请",IF(H2&gt;=30,"备选观察","谨慎投入"))))</f>
        <v>谨慎投入</v>
      </c>
    </row>
    <row r="3" spans="1:9" ht="14.5">
      <c r="A3" s="9" t="str">
        <f>IFERROR(院校信息总表!D3,"")</f>
        <v>浙江大学</v>
      </c>
      <c r="B3" s="9"/>
      <c r="C3" s="9"/>
      <c r="D3" s="9"/>
      <c r="E3" s="9"/>
      <c r="F3" s="9"/>
      <c r="G3" s="9"/>
      <c r="H3" s="9">
        <f t="shared" si="0"/>
        <v>0</v>
      </c>
      <c r="I3" s="9" t="str">
        <f t="shared" si="1"/>
        <v>谨慎投入</v>
      </c>
    </row>
    <row r="4" spans="1:9" ht="14.5">
      <c r="A4" s="9" t="str">
        <f>IFERROR(院校信息总表!D4,"")</f>
        <v>南京大学</v>
      </c>
      <c r="B4" s="9"/>
      <c r="C4" s="9"/>
      <c r="D4" s="9"/>
      <c r="E4" s="9"/>
      <c r="F4" s="9"/>
      <c r="G4" s="9"/>
      <c r="H4" s="9">
        <f t="shared" si="0"/>
        <v>0</v>
      </c>
      <c r="I4" s="9" t="str">
        <f t="shared" si="1"/>
        <v>谨慎投入</v>
      </c>
    </row>
    <row r="5" spans="1:9" ht="14.5">
      <c r="A5" s="9">
        <f>IFERROR(院校信息总表!D5,"")</f>
        <v>0</v>
      </c>
      <c r="B5" s="9"/>
      <c r="C5" s="9"/>
      <c r="D5" s="9"/>
      <c r="E5" s="9"/>
      <c r="F5" s="9"/>
      <c r="G5" s="9"/>
      <c r="H5" s="9">
        <f t="shared" si="0"/>
        <v>0</v>
      </c>
      <c r="I5" s="9" t="str">
        <f t="shared" si="1"/>
        <v>谨慎投入</v>
      </c>
    </row>
    <row r="6" spans="1:9" ht="14.5">
      <c r="A6" s="9">
        <f>IFERROR(院校信息总表!D6,"")</f>
        <v>0</v>
      </c>
      <c r="B6" s="9"/>
      <c r="C6" s="9"/>
      <c r="D6" s="9"/>
      <c r="E6" s="9"/>
      <c r="F6" s="9"/>
      <c r="G6" s="9"/>
      <c r="H6" s="9">
        <f t="shared" si="0"/>
        <v>0</v>
      </c>
      <c r="I6" s="9" t="str">
        <f t="shared" si="1"/>
        <v>谨慎投入</v>
      </c>
    </row>
    <row r="7" spans="1:9" ht="14.5">
      <c r="A7" s="9">
        <f>IFERROR(院校信息总表!D7,"")</f>
        <v>0</v>
      </c>
      <c r="B7" s="9"/>
      <c r="C7" s="9"/>
      <c r="D7" s="9"/>
      <c r="E7" s="9"/>
      <c r="F7" s="9"/>
      <c r="G7" s="9"/>
      <c r="H7" s="9">
        <f t="shared" si="0"/>
        <v>0</v>
      </c>
      <c r="I7" s="9" t="str">
        <f t="shared" si="1"/>
        <v>谨慎投入</v>
      </c>
    </row>
    <row r="8" spans="1:9" ht="14.5">
      <c r="A8" s="9">
        <f>IFERROR(院校信息总表!D8,"")</f>
        <v>0</v>
      </c>
      <c r="B8" s="9"/>
      <c r="C8" s="9"/>
      <c r="D8" s="9"/>
      <c r="E8" s="9"/>
      <c r="F8" s="9"/>
      <c r="G8" s="9"/>
      <c r="H8" s="9">
        <f t="shared" si="0"/>
        <v>0</v>
      </c>
      <c r="I8" s="9" t="str">
        <f t="shared" si="1"/>
        <v>谨慎投入</v>
      </c>
    </row>
    <row r="9" spans="1:9" ht="14.5">
      <c r="A9" s="9">
        <f>IFERROR(院校信息总表!D9,"")</f>
        <v>0</v>
      </c>
      <c r="B9" s="9"/>
      <c r="C9" s="9"/>
      <c r="D9" s="9"/>
      <c r="E9" s="9"/>
      <c r="F9" s="9"/>
      <c r="G9" s="9"/>
      <c r="H9" s="9">
        <f t="shared" si="0"/>
        <v>0</v>
      </c>
      <c r="I9" s="9" t="str">
        <f t="shared" si="1"/>
        <v>谨慎投入</v>
      </c>
    </row>
    <row r="10" spans="1:9" ht="14.5">
      <c r="A10" s="9">
        <f>IFERROR(院校信息总表!D10,"")</f>
        <v>0</v>
      </c>
      <c r="B10" s="9"/>
      <c r="C10" s="9"/>
      <c r="D10" s="9"/>
      <c r="E10" s="9"/>
      <c r="F10" s="9"/>
      <c r="G10" s="9"/>
      <c r="H10" s="9">
        <f t="shared" si="0"/>
        <v>0</v>
      </c>
      <c r="I10" s="9" t="str">
        <f t="shared" si="1"/>
        <v>谨慎投入</v>
      </c>
    </row>
    <row r="11" spans="1:9" ht="14.5">
      <c r="A11" s="9">
        <f>IFERROR(院校信息总表!D11,"")</f>
        <v>0</v>
      </c>
      <c r="B11" s="9"/>
      <c r="C11" s="9"/>
      <c r="D11" s="9"/>
      <c r="E11" s="9"/>
      <c r="F11" s="9"/>
      <c r="G11" s="9"/>
      <c r="H11" s="9">
        <f t="shared" si="0"/>
        <v>0</v>
      </c>
      <c r="I11" s="9" t="str">
        <f t="shared" si="1"/>
        <v>谨慎投入</v>
      </c>
    </row>
    <row r="12" spans="1:9" ht="14.5">
      <c r="A12" s="9">
        <f>IFERROR(院校信息总表!D12,"")</f>
        <v>0</v>
      </c>
      <c r="B12" s="9"/>
      <c r="C12" s="9"/>
      <c r="D12" s="9"/>
      <c r="E12" s="9"/>
      <c r="F12" s="9"/>
      <c r="G12" s="9"/>
      <c r="H12" s="9">
        <f t="shared" si="0"/>
        <v>0</v>
      </c>
      <c r="I12" s="9" t="str">
        <f t="shared" si="1"/>
        <v>谨慎投入</v>
      </c>
    </row>
    <row r="13" spans="1:9" ht="14.5">
      <c r="A13" s="9">
        <f>IFERROR(院校信息总表!D13,"")</f>
        <v>0</v>
      </c>
      <c r="B13" s="9"/>
      <c r="C13" s="9"/>
      <c r="D13" s="9"/>
      <c r="E13" s="9"/>
      <c r="F13" s="9"/>
      <c r="G13" s="9"/>
      <c r="H13" s="9">
        <f t="shared" si="0"/>
        <v>0</v>
      </c>
      <c r="I13" s="9" t="str">
        <f t="shared" si="1"/>
        <v>谨慎投入</v>
      </c>
    </row>
    <row r="14" spans="1:9" ht="14.5">
      <c r="A14" s="9">
        <f>IFERROR(院校信息总表!D14,"")</f>
        <v>0</v>
      </c>
      <c r="B14" s="9"/>
      <c r="C14" s="9"/>
      <c r="D14" s="9"/>
      <c r="E14" s="9"/>
      <c r="F14" s="9"/>
      <c r="G14" s="9"/>
      <c r="H14" s="9">
        <f t="shared" si="0"/>
        <v>0</v>
      </c>
      <c r="I14" s="9" t="str">
        <f t="shared" si="1"/>
        <v>谨慎投入</v>
      </c>
    </row>
    <row r="15" spans="1:9" ht="14.5">
      <c r="A15" s="9">
        <f>IFERROR(院校信息总表!D15,"")</f>
        <v>0</v>
      </c>
      <c r="B15" s="9"/>
      <c r="C15" s="9"/>
      <c r="D15" s="9"/>
      <c r="E15" s="9"/>
      <c r="F15" s="9"/>
      <c r="G15" s="9"/>
      <c r="H15" s="9">
        <f t="shared" si="0"/>
        <v>0</v>
      </c>
      <c r="I15" s="9" t="str">
        <f t="shared" si="1"/>
        <v>谨慎投入</v>
      </c>
    </row>
    <row r="16" spans="1:9" ht="14.5">
      <c r="A16" s="9">
        <f>IFERROR(院校信息总表!D16,"")</f>
        <v>0</v>
      </c>
      <c r="B16" s="9"/>
      <c r="C16" s="9"/>
      <c r="D16" s="9"/>
      <c r="E16" s="9"/>
      <c r="F16" s="9"/>
      <c r="G16" s="9"/>
      <c r="H16" s="9">
        <f t="shared" si="0"/>
        <v>0</v>
      </c>
      <c r="I16" s="9" t="str">
        <f t="shared" si="1"/>
        <v>谨慎投入</v>
      </c>
    </row>
    <row r="17" spans="1:9" ht="14.5">
      <c r="A17" s="9">
        <f>IFERROR(院校信息总表!D17,"")</f>
        <v>0</v>
      </c>
      <c r="B17" s="9"/>
      <c r="C17" s="9"/>
      <c r="D17" s="9"/>
      <c r="E17" s="9"/>
      <c r="F17" s="9"/>
      <c r="G17" s="9"/>
      <c r="H17" s="9">
        <f t="shared" si="0"/>
        <v>0</v>
      </c>
      <c r="I17" s="9" t="str">
        <f t="shared" si="1"/>
        <v>谨慎投入</v>
      </c>
    </row>
    <row r="18" spans="1:9" ht="14.5">
      <c r="A18" s="9">
        <f>IFERROR(院校信息总表!D18,"")</f>
        <v>0</v>
      </c>
      <c r="B18" s="9"/>
      <c r="C18" s="9"/>
      <c r="D18" s="9"/>
      <c r="E18" s="9"/>
      <c r="F18" s="9"/>
      <c r="G18" s="9"/>
      <c r="H18" s="9">
        <f t="shared" si="0"/>
        <v>0</v>
      </c>
      <c r="I18" s="9" t="str">
        <f t="shared" si="1"/>
        <v>谨慎投入</v>
      </c>
    </row>
    <row r="19" spans="1:9" ht="14.5">
      <c r="A19" s="9">
        <f>IFERROR(院校信息总表!D19,"")</f>
        <v>0</v>
      </c>
      <c r="B19" s="9"/>
      <c r="C19" s="9"/>
      <c r="D19" s="9"/>
      <c r="E19" s="9"/>
      <c r="F19" s="9"/>
      <c r="G19" s="9"/>
      <c r="H19" s="9">
        <f t="shared" si="0"/>
        <v>0</v>
      </c>
      <c r="I19" s="9" t="str">
        <f t="shared" si="1"/>
        <v>谨慎投入</v>
      </c>
    </row>
    <row r="20" spans="1:9" ht="14.5">
      <c r="A20" s="9">
        <f>IFERROR(院校信息总表!D20,"")</f>
        <v>0</v>
      </c>
      <c r="B20" s="9"/>
      <c r="C20" s="9"/>
      <c r="D20" s="9"/>
      <c r="E20" s="9"/>
      <c r="F20" s="9"/>
      <c r="G20" s="9"/>
      <c r="H20" s="9">
        <f t="shared" si="0"/>
        <v>0</v>
      </c>
      <c r="I20" s="9" t="str">
        <f t="shared" si="1"/>
        <v>谨慎投入</v>
      </c>
    </row>
    <row r="21" spans="1:9" ht="14.5">
      <c r="A21" s="9">
        <f>IFERROR(院校信息总表!D21,"")</f>
        <v>0</v>
      </c>
      <c r="B21" s="9"/>
      <c r="C21" s="9"/>
      <c r="D21" s="9"/>
      <c r="E21" s="9"/>
      <c r="F21" s="9"/>
      <c r="G21" s="9"/>
      <c r="H21" s="9">
        <f t="shared" si="0"/>
        <v>0</v>
      </c>
      <c r="I21" s="9" t="str">
        <f t="shared" si="1"/>
        <v>谨慎投入</v>
      </c>
    </row>
    <row r="22" spans="1:9" ht="14.5">
      <c r="A22" s="9">
        <f>IFERROR(院校信息总表!D22,"")</f>
        <v>0</v>
      </c>
      <c r="B22" s="9"/>
      <c r="C22" s="9"/>
      <c r="D22" s="9"/>
      <c r="E22" s="9"/>
      <c r="F22" s="9"/>
      <c r="G22" s="9"/>
      <c r="H22" s="9">
        <f t="shared" si="0"/>
        <v>0</v>
      </c>
      <c r="I22" s="9" t="str">
        <f t="shared" si="1"/>
        <v>谨慎投入</v>
      </c>
    </row>
    <row r="23" spans="1:9" ht="14.5">
      <c r="A23" s="9">
        <f>IFERROR(院校信息总表!D23,"")</f>
        <v>0</v>
      </c>
      <c r="B23" s="9"/>
      <c r="C23" s="9"/>
      <c r="D23" s="9"/>
      <c r="E23" s="9"/>
      <c r="F23" s="9"/>
      <c r="G23" s="9"/>
      <c r="H23" s="9">
        <f t="shared" si="0"/>
        <v>0</v>
      </c>
      <c r="I23" s="9" t="str">
        <f t="shared" si="1"/>
        <v>谨慎投入</v>
      </c>
    </row>
    <row r="24" spans="1:9" ht="14.5">
      <c r="A24" s="9">
        <f>IFERROR(院校信息总表!D24,"")</f>
        <v>0</v>
      </c>
      <c r="B24" s="9"/>
      <c r="C24" s="9"/>
      <c r="D24" s="9"/>
      <c r="E24" s="9"/>
      <c r="F24" s="9"/>
      <c r="G24" s="9"/>
      <c r="H24" s="9">
        <f t="shared" si="0"/>
        <v>0</v>
      </c>
      <c r="I24" s="9" t="str">
        <f t="shared" si="1"/>
        <v>谨慎投入</v>
      </c>
    </row>
    <row r="25" spans="1:9" ht="14.5">
      <c r="A25" s="9">
        <f>IFERROR(院校信息总表!D25,"")</f>
        <v>0</v>
      </c>
      <c r="B25" s="9"/>
      <c r="C25" s="9"/>
      <c r="D25" s="9"/>
      <c r="E25" s="9"/>
      <c r="F25" s="9"/>
      <c r="G25" s="9"/>
      <c r="H25" s="9">
        <f t="shared" si="0"/>
        <v>0</v>
      </c>
      <c r="I25" s="9" t="str">
        <f t="shared" si="1"/>
        <v>谨慎投入</v>
      </c>
    </row>
    <row r="26" spans="1:9" ht="14.5">
      <c r="A26" s="9">
        <f>IFERROR(院校信息总表!D26,"")</f>
        <v>0</v>
      </c>
      <c r="B26" s="9"/>
      <c r="C26" s="9"/>
      <c r="D26" s="9"/>
      <c r="E26" s="9"/>
      <c r="F26" s="9"/>
      <c r="G26" s="9"/>
      <c r="H26" s="9">
        <f t="shared" si="0"/>
        <v>0</v>
      </c>
      <c r="I26" s="9" t="str">
        <f t="shared" si="1"/>
        <v>谨慎投入</v>
      </c>
    </row>
    <row r="27" spans="1:9" ht="14.5">
      <c r="A27" s="9">
        <f>IFERROR(院校信息总表!D27,"")</f>
        <v>0</v>
      </c>
      <c r="B27" s="9"/>
      <c r="C27" s="9"/>
      <c r="D27" s="9"/>
      <c r="E27" s="9"/>
      <c r="F27" s="9"/>
      <c r="G27" s="9"/>
      <c r="H27" s="9">
        <f t="shared" si="0"/>
        <v>0</v>
      </c>
      <c r="I27" s="9" t="str">
        <f t="shared" si="1"/>
        <v>谨慎投入</v>
      </c>
    </row>
    <row r="28" spans="1:9" ht="14.5">
      <c r="A28" s="9">
        <f>IFERROR(院校信息总表!D28,"")</f>
        <v>0</v>
      </c>
      <c r="B28" s="9"/>
      <c r="C28" s="9"/>
      <c r="D28" s="9"/>
      <c r="E28" s="9"/>
      <c r="F28" s="9"/>
      <c r="G28" s="9"/>
      <c r="H28" s="9">
        <f t="shared" si="0"/>
        <v>0</v>
      </c>
      <c r="I28" s="9" t="str">
        <f t="shared" si="1"/>
        <v>谨慎投入</v>
      </c>
    </row>
    <row r="29" spans="1:9" ht="14.5">
      <c r="A29" s="9">
        <f>IFERROR(院校信息总表!D29,"")</f>
        <v>0</v>
      </c>
      <c r="B29" s="9"/>
      <c r="C29" s="9"/>
      <c r="D29" s="9"/>
      <c r="E29" s="9"/>
      <c r="F29" s="9"/>
      <c r="G29" s="9"/>
      <c r="H29" s="9">
        <f t="shared" si="0"/>
        <v>0</v>
      </c>
      <c r="I29" s="9" t="str">
        <f t="shared" si="1"/>
        <v>谨慎投入</v>
      </c>
    </row>
    <row r="30" spans="1:9" ht="14.5">
      <c r="A30" s="9">
        <f>IFERROR(院校信息总表!D30,"")</f>
        <v>0</v>
      </c>
      <c r="B30" s="9"/>
      <c r="C30" s="9"/>
      <c r="D30" s="9"/>
      <c r="E30" s="9"/>
      <c r="F30" s="9"/>
      <c r="G30" s="9"/>
      <c r="H30" s="9">
        <f t="shared" si="0"/>
        <v>0</v>
      </c>
      <c r="I30" s="9" t="str">
        <f t="shared" si="1"/>
        <v>谨慎投入</v>
      </c>
    </row>
    <row r="31" spans="1:9" ht="14.5">
      <c r="A31" s="9">
        <f>IFERROR(院校信息总表!D31,"")</f>
        <v>0</v>
      </c>
      <c r="B31" s="9"/>
      <c r="C31" s="9"/>
      <c r="D31" s="9"/>
      <c r="E31" s="9"/>
      <c r="F31" s="9"/>
      <c r="G31" s="9"/>
      <c r="H31" s="9">
        <f t="shared" si="0"/>
        <v>0</v>
      </c>
      <c r="I31" s="9" t="str">
        <f t="shared" si="1"/>
        <v>谨慎投入</v>
      </c>
    </row>
    <row r="32" spans="1:9" ht="14.5">
      <c r="A32" s="9">
        <f>IFERROR(院校信息总表!D32,"")</f>
        <v>0</v>
      </c>
      <c r="B32" s="9"/>
      <c r="C32" s="9"/>
      <c r="D32" s="9"/>
      <c r="E32" s="9"/>
      <c r="F32" s="9"/>
      <c r="G32" s="9"/>
      <c r="H32" s="9">
        <f t="shared" si="0"/>
        <v>0</v>
      </c>
      <c r="I32" s="9" t="str">
        <f t="shared" si="1"/>
        <v>谨慎投入</v>
      </c>
    </row>
    <row r="33" spans="1:9" ht="14.5">
      <c r="A33" s="9">
        <f>IFERROR(院校信息总表!D33,"")</f>
        <v>0</v>
      </c>
      <c r="B33" s="9"/>
      <c r="C33" s="9"/>
      <c r="D33" s="9"/>
      <c r="E33" s="9"/>
      <c r="F33" s="9"/>
      <c r="G33" s="9"/>
      <c r="H33" s="9">
        <f t="shared" si="0"/>
        <v>0</v>
      </c>
      <c r="I33" s="9" t="str">
        <f t="shared" si="1"/>
        <v>谨慎投入</v>
      </c>
    </row>
    <row r="34" spans="1:9" ht="14.5">
      <c r="A34" s="9">
        <f>IFERROR(院校信息总表!D34,"")</f>
        <v>0</v>
      </c>
      <c r="B34" s="9"/>
      <c r="C34" s="9"/>
      <c r="D34" s="9"/>
      <c r="E34" s="9"/>
      <c r="F34" s="9"/>
      <c r="G34" s="9"/>
      <c r="H34" s="9">
        <f t="shared" ref="H34:H50" si="2">IF(A34="","",SUM(B34:G34))</f>
        <v>0</v>
      </c>
      <c r="I34" s="9" t="str">
        <f t="shared" ref="I34:I50" si="3">IF(H34="","",IF(H34&gt;=50,"重点申请",IF(H34&gt;=40,"稳妥申请",IF(H34&gt;=30,"备选观察","谨慎投入"))))</f>
        <v>谨慎投入</v>
      </c>
    </row>
    <row r="35" spans="1:9" ht="14.5">
      <c r="A35" s="9">
        <f>IFERROR(院校信息总表!D35,"")</f>
        <v>0</v>
      </c>
      <c r="B35" s="9"/>
      <c r="C35" s="9"/>
      <c r="D35" s="9"/>
      <c r="E35" s="9"/>
      <c r="F35" s="9"/>
      <c r="G35" s="9"/>
      <c r="H35" s="9">
        <f t="shared" si="2"/>
        <v>0</v>
      </c>
      <c r="I35" s="9" t="str">
        <f t="shared" si="3"/>
        <v>谨慎投入</v>
      </c>
    </row>
    <row r="36" spans="1:9" ht="14.5">
      <c r="A36" s="9">
        <f>IFERROR(院校信息总表!D36,"")</f>
        <v>0</v>
      </c>
      <c r="B36" s="9"/>
      <c r="C36" s="9"/>
      <c r="D36" s="9"/>
      <c r="E36" s="9"/>
      <c r="F36" s="9"/>
      <c r="G36" s="9"/>
      <c r="H36" s="9">
        <f t="shared" si="2"/>
        <v>0</v>
      </c>
      <c r="I36" s="9" t="str">
        <f t="shared" si="3"/>
        <v>谨慎投入</v>
      </c>
    </row>
    <row r="37" spans="1:9" ht="14.5">
      <c r="A37" s="9">
        <f>IFERROR(院校信息总表!D37,"")</f>
        <v>0</v>
      </c>
      <c r="B37" s="9"/>
      <c r="C37" s="9"/>
      <c r="D37" s="9"/>
      <c r="E37" s="9"/>
      <c r="F37" s="9"/>
      <c r="G37" s="9"/>
      <c r="H37" s="9">
        <f t="shared" si="2"/>
        <v>0</v>
      </c>
      <c r="I37" s="9" t="str">
        <f t="shared" si="3"/>
        <v>谨慎投入</v>
      </c>
    </row>
    <row r="38" spans="1:9" ht="14.5">
      <c r="A38" s="9">
        <f>IFERROR(院校信息总表!D38,"")</f>
        <v>0</v>
      </c>
      <c r="B38" s="9"/>
      <c r="C38" s="9"/>
      <c r="D38" s="9"/>
      <c r="E38" s="9"/>
      <c r="F38" s="9"/>
      <c r="G38" s="9"/>
      <c r="H38" s="9">
        <f t="shared" si="2"/>
        <v>0</v>
      </c>
      <c r="I38" s="9" t="str">
        <f t="shared" si="3"/>
        <v>谨慎投入</v>
      </c>
    </row>
    <row r="39" spans="1:9" ht="14.5">
      <c r="A39" s="9">
        <f>IFERROR(院校信息总表!D39,"")</f>
        <v>0</v>
      </c>
      <c r="B39" s="9"/>
      <c r="C39" s="9"/>
      <c r="D39" s="9"/>
      <c r="E39" s="9"/>
      <c r="F39" s="9"/>
      <c r="G39" s="9"/>
      <c r="H39" s="9">
        <f t="shared" si="2"/>
        <v>0</v>
      </c>
      <c r="I39" s="9" t="str">
        <f t="shared" si="3"/>
        <v>谨慎投入</v>
      </c>
    </row>
    <row r="40" spans="1:9" ht="14.5">
      <c r="A40" s="9">
        <f>IFERROR(院校信息总表!D40,"")</f>
        <v>0</v>
      </c>
      <c r="B40" s="9"/>
      <c r="C40" s="9"/>
      <c r="D40" s="9"/>
      <c r="E40" s="9"/>
      <c r="F40" s="9"/>
      <c r="G40" s="9"/>
      <c r="H40" s="9">
        <f t="shared" si="2"/>
        <v>0</v>
      </c>
      <c r="I40" s="9" t="str">
        <f t="shared" si="3"/>
        <v>谨慎投入</v>
      </c>
    </row>
    <row r="41" spans="1:9" ht="14.5">
      <c r="A41" s="9">
        <f>IFERROR(院校信息总表!D41,"")</f>
        <v>0</v>
      </c>
      <c r="B41" s="9"/>
      <c r="C41" s="9"/>
      <c r="D41" s="9"/>
      <c r="E41" s="9"/>
      <c r="F41" s="9"/>
      <c r="G41" s="9"/>
      <c r="H41" s="9">
        <f t="shared" si="2"/>
        <v>0</v>
      </c>
      <c r="I41" s="9" t="str">
        <f t="shared" si="3"/>
        <v>谨慎投入</v>
      </c>
    </row>
    <row r="42" spans="1:9" ht="14.5">
      <c r="A42" s="9">
        <f>IFERROR(院校信息总表!D42,"")</f>
        <v>0</v>
      </c>
      <c r="B42" s="9"/>
      <c r="C42" s="9"/>
      <c r="D42" s="9"/>
      <c r="E42" s="9"/>
      <c r="F42" s="9"/>
      <c r="G42" s="9"/>
      <c r="H42" s="9">
        <f t="shared" si="2"/>
        <v>0</v>
      </c>
      <c r="I42" s="9" t="str">
        <f t="shared" si="3"/>
        <v>谨慎投入</v>
      </c>
    </row>
    <row r="43" spans="1:9" ht="14.5">
      <c r="A43" s="9">
        <f>IFERROR(院校信息总表!D43,"")</f>
        <v>0</v>
      </c>
      <c r="B43" s="9"/>
      <c r="C43" s="9"/>
      <c r="D43" s="9"/>
      <c r="E43" s="9"/>
      <c r="F43" s="9"/>
      <c r="G43" s="9"/>
      <c r="H43" s="9">
        <f t="shared" si="2"/>
        <v>0</v>
      </c>
      <c r="I43" s="9" t="str">
        <f t="shared" si="3"/>
        <v>谨慎投入</v>
      </c>
    </row>
    <row r="44" spans="1:9" ht="14.5">
      <c r="A44" s="9">
        <f>IFERROR(院校信息总表!D44,"")</f>
        <v>0</v>
      </c>
      <c r="B44" s="9"/>
      <c r="C44" s="9"/>
      <c r="D44" s="9"/>
      <c r="E44" s="9"/>
      <c r="F44" s="9"/>
      <c r="G44" s="9"/>
      <c r="H44" s="9">
        <f t="shared" si="2"/>
        <v>0</v>
      </c>
      <c r="I44" s="9" t="str">
        <f t="shared" si="3"/>
        <v>谨慎投入</v>
      </c>
    </row>
    <row r="45" spans="1:9" ht="14.5">
      <c r="A45" s="9">
        <f>IFERROR(院校信息总表!D45,"")</f>
        <v>0</v>
      </c>
      <c r="B45" s="9"/>
      <c r="C45" s="9"/>
      <c r="D45" s="9"/>
      <c r="E45" s="9"/>
      <c r="F45" s="9"/>
      <c r="G45" s="9"/>
      <c r="H45" s="9">
        <f t="shared" si="2"/>
        <v>0</v>
      </c>
      <c r="I45" s="9" t="str">
        <f t="shared" si="3"/>
        <v>谨慎投入</v>
      </c>
    </row>
    <row r="46" spans="1:9" ht="14.5">
      <c r="A46" s="9">
        <f>IFERROR(院校信息总表!D46,"")</f>
        <v>0</v>
      </c>
      <c r="B46" s="9"/>
      <c r="C46" s="9"/>
      <c r="D46" s="9"/>
      <c r="E46" s="9"/>
      <c r="F46" s="9"/>
      <c r="G46" s="9"/>
      <c r="H46" s="9">
        <f t="shared" si="2"/>
        <v>0</v>
      </c>
      <c r="I46" s="9" t="str">
        <f t="shared" si="3"/>
        <v>谨慎投入</v>
      </c>
    </row>
    <row r="47" spans="1:9" ht="14.5">
      <c r="A47" s="9">
        <f>IFERROR(院校信息总表!D47,"")</f>
        <v>0</v>
      </c>
      <c r="B47" s="9"/>
      <c r="C47" s="9"/>
      <c r="D47" s="9"/>
      <c r="E47" s="9"/>
      <c r="F47" s="9"/>
      <c r="G47" s="9"/>
      <c r="H47" s="9">
        <f t="shared" si="2"/>
        <v>0</v>
      </c>
      <c r="I47" s="9" t="str">
        <f t="shared" si="3"/>
        <v>谨慎投入</v>
      </c>
    </row>
    <row r="48" spans="1:9" ht="14.5">
      <c r="A48" s="9">
        <f>IFERROR(院校信息总表!D48,"")</f>
        <v>0</v>
      </c>
      <c r="B48" s="9"/>
      <c r="C48" s="9"/>
      <c r="D48" s="9"/>
      <c r="E48" s="9"/>
      <c r="F48" s="9"/>
      <c r="G48" s="9"/>
      <c r="H48" s="9">
        <f t="shared" si="2"/>
        <v>0</v>
      </c>
      <c r="I48" s="9" t="str">
        <f t="shared" si="3"/>
        <v>谨慎投入</v>
      </c>
    </row>
    <row r="49" spans="1:9" ht="14.5">
      <c r="A49" s="9">
        <f>IFERROR(院校信息总表!D49,"")</f>
        <v>0</v>
      </c>
      <c r="B49" s="9"/>
      <c r="C49" s="9"/>
      <c r="D49" s="9"/>
      <c r="E49" s="9"/>
      <c r="F49" s="9"/>
      <c r="G49" s="9"/>
      <c r="H49" s="9">
        <f t="shared" si="2"/>
        <v>0</v>
      </c>
      <c r="I49" s="9" t="str">
        <f t="shared" si="3"/>
        <v>谨慎投入</v>
      </c>
    </row>
    <row r="50" spans="1:9" ht="14.5">
      <c r="A50" s="9">
        <f>IFERROR(院校信息总表!D50,"")</f>
        <v>0</v>
      </c>
      <c r="B50" s="9"/>
      <c r="C50" s="9"/>
      <c r="D50" s="9"/>
      <c r="E50" s="9"/>
      <c r="F50" s="9"/>
      <c r="G50" s="9"/>
      <c r="H50" s="9">
        <f t="shared" si="2"/>
        <v>0</v>
      </c>
      <c r="I50" s="9" t="str">
        <f t="shared" si="3"/>
        <v>谨慎投入</v>
      </c>
    </row>
    <row r="51" spans="1:9" ht="14.5">
      <c r="A51" s="9"/>
      <c r="B51" s="9"/>
      <c r="C51" s="9"/>
      <c r="D51" s="9"/>
      <c r="E51" s="9"/>
      <c r="F51" s="9"/>
      <c r="G51" s="9"/>
      <c r="H51" s="9"/>
      <c r="I51" s="9"/>
    </row>
  </sheetData>
  <phoneticPr fontId="5" type="noConversion"/>
  <conditionalFormatting sqref="H2:H51">
    <cfRule type="cellIs" dxfId="1" priority="1" operator="greaterThanOrEqual">
      <formula>50</formula>
    </cfRule>
    <cfRule type="cellIs" dxfId="0" priority="2" operator="between">
      <formula>40</formula>
      <formula>49</formula>
    </cfRule>
  </conditionalFormatting>
  <dataValidations count="1">
    <dataValidation type="whole" allowBlank="1" promptTitle="评分" prompt="0-10 分，越高越适合。" sqref="B2:G51" xr:uid="{00000000-0002-0000-0400-000000000000}">
      <formula1>0</formula1>
      <formula2>10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showGridLines="0" workbookViewId="0"/>
  </sheetViews>
  <sheetFormatPr defaultRowHeight="14"/>
  <cols>
    <col min="1" max="1" width="16" customWidth="1"/>
    <col min="2" max="2" width="90" customWidth="1"/>
  </cols>
  <sheetData>
    <row r="1" spans="1:2" ht="16.5">
      <c r="A1" s="10" t="s">
        <v>139</v>
      </c>
      <c r="B1" s="10" t="s">
        <v>140</v>
      </c>
    </row>
    <row r="2" spans="1:2" ht="14.5">
      <c r="A2" s="5" t="s">
        <v>141</v>
      </c>
      <c r="B2" s="5" t="s">
        <v>142</v>
      </c>
    </row>
    <row r="3" spans="1:2" ht="14.5">
      <c r="A3" s="5" t="s">
        <v>143</v>
      </c>
      <c r="B3" s="5" t="s">
        <v>144</v>
      </c>
    </row>
    <row r="4" spans="1:2" ht="14.5">
      <c r="A4" s="5" t="s">
        <v>145</v>
      </c>
      <c r="B4" s="5" t="s">
        <v>146</v>
      </c>
    </row>
    <row r="5" spans="1:2" ht="14.5">
      <c r="A5" s="5" t="s">
        <v>147</v>
      </c>
      <c r="B5" s="5" t="s">
        <v>148</v>
      </c>
    </row>
    <row r="6" spans="1:2" ht="14.5">
      <c r="A6" s="5" t="s">
        <v>149</v>
      </c>
      <c r="B6" s="5" t="s">
        <v>150</v>
      </c>
    </row>
    <row r="7" spans="1:2" ht="14.5">
      <c r="A7" s="5" t="s">
        <v>151</v>
      </c>
      <c r="B7" s="5" t="s">
        <v>152</v>
      </c>
    </row>
  </sheetData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"/>
  <sheetViews>
    <sheetView workbookViewId="0"/>
  </sheetViews>
  <sheetFormatPr defaultRowHeight="14"/>
  <sheetData>
    <row r="1" spans="1:11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  <c r="J1" t="s">
        <v>161</v>
      </c>
      <c r="K1" t="s">
        <v>162</v>
      </c>
    </row>
    <row r="2" spans="1:11">
      <c r="A2" t="s">
        <v>6</v>
      </c>
      <c r="B2" t="s">
        <v>7</v>
      </c>
      <c r="C2" t="s">
        <v>54</v>
      </c>
      <c r="D2" t="s">
        <v>68</v>
      </c>
      <c r="E2" t="s">
        <v>163</v>
      </c>
      <c r="F2" t="s">
        <v>58</v>
      </c>
      <c r="G2" t="s">
        <v>164</v>
      </c>
      <c r="H2" t="s">
        <v>68</v>
      </c>
      <c r="J2" t="s">
        <v>122</v>
      </c>
      <c r="K2" t="s">
        <v>165</v>
      </c>
    </row>
    <row r="3" spans="1:11">
      <c r="A3" t="s">
        <v>9</v>
      </c>
      <c r="B3" t="s">
        <v>10</v>
      </c>
      <c r="C3" t="s">
        <v>97</v>
      </c>
      <c r="D3" t="s">
        <v>56</v>
      </c>
      <c r="E3" t="s">
        <v>166</v>
      </c>
      <c r="F3" t="s">
        <v>79</v>
      </c>
      <c r="G3" t="s">
        <v>167</v>
      </c>
      <c r="H3" t="s">
        <v>56</v>
      </c>
      <c r="J3" t="s">
        <v>125</v>
      </c>
      <c r="K3" t="s">
        <v>168</v>
      </c>
    </row>
    <row r="4" spans="1:11">
      <c r="A4" t="s">
        <v>12</v>
      </c>
      <c r="B4" t="s">
        <v>13</v>
      </c>
      <c r="C4" t="s">
        <v>169</v>
      </c>
      <c r="D4" t="s">
        <v>170</v>
      </c>
      <c r="E4" t="s">
        <v>171</v>
      </c>
      <c r="F4" t="s">
        <v>99</v>
      </c>
      <c r="G4" t="s">
        <v>172</v>
      </c>
      <c r="H4" t="s">
        <v>108</v>
      </c>
      <c r="J4" t="s">
        <v>173</v>
      </c>
      <c r="K4" t="s">
        <v>123</v>
      </c>
    </row>
    <row r="5" spans="1:11">
      <c r="A5" t="s">
        <v>15</v>
      </c>
      <c r="B5" t="s">
        <v>5</v>
      </c>
      <c r="C5" t="s">
        <v>174</v>
      </c>
      <c r="D5" t="s">
        <v>175</v>
      </c>
      <c r="E5" t="s">
        <v>57</v>
      </c>
      <c r="F5" t="s">
        <v>176</v>
      </c>
      <c r="G5" t="s">
        <v>105</v>
      </c>
      <c r="H5" t="s">
        <v>170</v>
      </c>
      <c r="J5" t="s">
        <v>19</v>
      </c>
      <c r="K5" t="s">
        <v>177</v>
      </c>
    </row>
    <row r="6" spans="1:11">
      <c r="B6" t="s">
        <v>8</v>
      </c>
      <c r="C6" t="s">
        <v>178</v>
      </c>
      <c r="E6" t="s">
        <v>78</v>
      </c>
      <c r="F6" t="s">
        <v>179</v>
      </c>
      <c r="G6" t="s">
        <v>85</v>
      </c>
      <c r="H6" t="s">
        <v>175</v>
      </c>
      <c r="J6" t="s">
        <v>180</v>
      </c>
      <c r="K6" t="s">
        <v>181</v>
      </c>
    </row>
    <row r="7" spans="1:11">
      <c r="B7" t="s">
        <v>17</v>
      </c>
      <c r="C7" t="s">
        <v>182</v>
      </c>
      <c r="G7" t="s">
        <v>183</v>
      </c>
      <c r="J7" t="s">
        <v>165</v>
      </c>
      <c r="K7" t="s">
        <v>184</v>
      </c>
    </row>
    <row r="8" spans="1:11">
      <c r="B8" t="s">
        <v>11</v>
      </c>
      <c r="C8" t="s">
        <v>179</v>
      </c>
      <c r="G8" t="s">
        <v>64</v>
      </c>
      <c r="J8" t="s">
        <v>177</v>
      </c>
    </row>
    <row r="9" spans="1:11">
      <c r="B9" t="s">
        <v>20</v>
      </c>
      <c r="J9" t="s">
        <v>181</v>
      </c>
    </row>
    <row r="10" spans="1:11">
      <c r="B10" t="s">
        <v>22</v>
      </c>
      <c r="J10" t="s">
        <v>185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概览看板</vt:lpstr>
      <vt:lpstr>院校信息总表</vt:lpstr>
      <vt:lpstr>套磁情况</vt:lpstr>
      <vt:lpstr>时间线与待办</vt:lpstr>
      <vt:lpstr>择校评分模型</vt:lpstr>
      <vt:lpstr>使用说明</vt:lpstr>
      <vt:lpstr>选项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耀斌 王</cp:lastModifiedBy>
  <dcterms:created xsi:type="dcterms:W3CDTF">2026-05-10T02:42:01Z</dcterms:created>
  <dcterms:modified xsi:type="dcterms:W3CDTF">2026-05-14T13:18:48Z</dcterms:modified>
</cp:coreProperties>
</file>